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45739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45739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45739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45739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45739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45739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45739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45739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45739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45739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45739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45739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45739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45739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45739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45739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45739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45739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45739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45739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45739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45739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45739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45739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45739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45739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45739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45739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45739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8532-2025</t>
        </is>
      </c>
      <c r="B31" s="1" t="n">
        <v>45709</v>
      </c>
      <c r="C31" s="1" t="n">
        <v>45739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HYPERLINK("https://klasma.github.io/Logging_1860/artfynd/A 8532-2025 artfynd.xlsx", "A 8532-2025")</f>
        <v/>
      </c>
      <c r="T31">
        <f>HYPERLINK("https://klasma.github.io/Logging_1860/kartor/A 8532-2025 karta.png", "A 8532-2025")</f>
        <v/>
      </c>
      <c r="V31">
        <f>HYPERLINK("https://klasma.github.io/Logging_1860/klagomål/A 8532-2025 FSC-klagomål.docx", "A 8532-2025")</f>
        <v/>
      </c>
      <c r="W31">
        <f>HYPERLINK("https://klasma.github.io/Logging_1860/klagomålsmail/A 8532-2025 FSC-klagomål mail.docx", "A 8532-2025")</f>
        <v/>
      </c>
      <c r="X31">
        <f>HYPERLINK("https://klasma.github.io/Logging_1860/tillsyn/A 8532-2025 tillsynsbegäran.docx", "A 8532-2025")</f>
        <v/>
      </c>
      <c r="Y31">
        <f>HYPERLINK("https://klasma.github.io/Logging_1860/tillsynsmail/A 8532-2025 tillsynsbegäran mail.docx", "A 8532-2025")</f>
        <v/>
      </c>
    </row>
    <row r="32" ht="15" customHeight="1">
      <c r="A32" t="inlineStr">
        <is>
          <t>A 8522-2025</t>
        </is>
      </c>
      <c r="B32" s="1" t="n">
        <v>45709</v>
      </c>
      <c r="C32" s="1" t="n">
        <v>45739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HYPERLINK("https://klasma.github.io/Logging_1860/artfynd/A 8522-2025 artfynd.xlsx", "A 8522-2025")</f>
        <v/>
      </c>
      <c r="T32">
        <f>HYPERLINK("https://klasma.github.io/Logging_1860/kartor/A 8522-2025 karta.png", "A 8522-2025")</f>
        <v/>
      </c>
      <c r="V32">
        <f>HYPERLINK("https://klasma.github.io/Logging_1860/klagomål/A 8522-2025 FSC-klagomål.docx", "A 8522-2025")</f>
        <v/>
      </c>
      <c r="W32">
        <f>HYPERLINK("https://klasma.github.io/Logging_1860/klagomålsmail/A 8522-2025 FSC-klagomål mail.docx", "A 8522-2025")</f>
        <v/>
      </c>
      <c r="X32">
        <f>HYPERLINK("https://klasma.github.io/Logging_1860/tillsyn/A 8522-2025 tillsynsbegäran.docx", "A 8522-2025")</f>
        <v/>
      </c>
      <c r="Y32">
        <f>HYPERLINK("https://klasma.github.io/Logging_1860/tillsynsmail/A 8522-2025 tillsynsbegäran mail.docx", "A 8522-2025")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45739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45739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45739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45739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45739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45739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45739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45739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45739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45739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45739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45739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45739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45739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45739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45739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45739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45739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45739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45739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45739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45739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45739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45739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45739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45739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45739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45739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45739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45739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45739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45739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45739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45739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45739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45739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45739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45739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45739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45739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45739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45739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45739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45739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45739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45739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45739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45739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45739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45739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45739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45739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45739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45739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45739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45739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45739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45739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45739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45739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45739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45739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45739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45739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45739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45739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45739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45739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45739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45739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45739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45739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45739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45739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45739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45739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45739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45739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45739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45739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45739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45739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45739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45739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45739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45739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45739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45739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45739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45739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45739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45739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45739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45739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45739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45739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45739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45739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45739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45739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45739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45739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45739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45739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45739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45739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45739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45739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45739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45739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45739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45739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45739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45739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45739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45739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45739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45739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45739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45739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45739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45739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45739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45739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45739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45739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45739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45739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45739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45739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45739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45739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45739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45739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45739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45739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45739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45739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45739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45739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45739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45739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45739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45739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45739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45739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45739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45739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45739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45739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45739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45739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45739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45739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45739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45739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45739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45739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45739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45739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45739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45739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45739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45739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45739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45739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45739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45739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45739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45739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45739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45739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45739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45739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45739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45739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45739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45739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45739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45739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45739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45739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45739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45739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45739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45739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45739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45739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45739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45739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45739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45739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45739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45739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45739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45739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45739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45739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45739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45739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45739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45739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45739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45739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45739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45739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45739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45739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45739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45739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45739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45739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45739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45739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45739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45739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45739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45739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45739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45739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45739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45739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45739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45739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45739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45739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45739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45739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45739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45739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45739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45739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45739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45739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45739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45739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45739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45739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45739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45739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45739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45739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45739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45739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45739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45739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45739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45739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45739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45739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45739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45739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45739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45739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45739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45739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45739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45739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45739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45739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45739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45739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45739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45739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45739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45739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45739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45739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45739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45739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45739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45739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45739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45739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45739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45739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45739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45739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45739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45739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45739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45739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45739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45739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45739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45739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45739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45739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45739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45739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45739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45739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45739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45739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45739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45739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45739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45739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45739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45739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45739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45739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45739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45739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45739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45739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45739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45739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45739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45739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45739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45739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45739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45739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45739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45739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45739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45739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45739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45739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45739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45739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45739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45739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45739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45739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45739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45739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45739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45739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45739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45739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45739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45739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45739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45739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45739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45739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45739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45739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45739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45739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45739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45739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45739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45739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45739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45739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45739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45739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45739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45739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45739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45739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45739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45739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45739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45739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45739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45739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45739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45739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45739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45739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45739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45739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45739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45739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45739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45739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45739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45739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45739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45739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45739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45739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45739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45739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45739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45739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45739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45739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45739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45739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45739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45739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45739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45739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45739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45739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45739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45739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45739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45739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45739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45739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45739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45739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45739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45739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45739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45739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45739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45739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45739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45739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45739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45739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45739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45739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45739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45739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45739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45739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45739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45739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45739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45739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45739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45739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45739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45739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45739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45739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45739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45739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45739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45739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45739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45739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45739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45739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45739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45739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45739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45739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45739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45739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45739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45739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45739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45739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45739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45739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45739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45739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45739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45739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45739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45739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45739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45739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45739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45739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45739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45739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45739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45739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45739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45739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45739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45739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45739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45739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45739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45739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45739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45739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45739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45739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45739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45739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45739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45739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45739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45739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45739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45739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45739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45739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45739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45739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45739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45739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45739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45739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45739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45739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45739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45739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45739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45739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45739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45739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45739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45739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45739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45739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45739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45739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45739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45739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45739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45739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45739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45739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45739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45739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45739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45739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45739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45739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45739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45739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45739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45739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45739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45739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45739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45739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45739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45739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45739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45739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45739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45739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45739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45739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45739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45739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45739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45739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45739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45739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45739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45739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45739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45739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45739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45739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45739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45739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45739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45739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45739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45739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45739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45739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45739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45739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45739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45739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45739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45739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45739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45739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45739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45739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45739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45739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45739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45739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45739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45739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45739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45739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45739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45739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45739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45739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45739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45739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45739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45739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45739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45739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45739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45739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45739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45739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45739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45739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45739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45739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45739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45739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45739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45739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45739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45739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45739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45739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45739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45739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45739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45739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45739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45739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45739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45739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45739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45739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45739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45739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45739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45739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45739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45739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45739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45739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45739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45739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45739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45739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45739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45739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45739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45739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45739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45739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45739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45739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45739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45739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45739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45739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45739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45739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45739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45739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45739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45739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45739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45739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45739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45739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45739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45739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45739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45739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45739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45739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45739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45739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45739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45739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45739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45739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45739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45739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45739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45739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45739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45739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45739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45739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45739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45739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45739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45739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45739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45739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45739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45739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45739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45739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45739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45739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45739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45739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45739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45739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45739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45739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45739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45739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45739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45739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45739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45739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45739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45739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45739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45739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45739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45739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45739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45739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45739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45739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45739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45739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45739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45739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45739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45739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45739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45739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45739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45739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45739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45739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45739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45739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45739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45739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45739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45739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45739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45739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45739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45739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45739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45739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45739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45739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45739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45739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45739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45739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6867-2025</t>
        </is>
      </c>
      <c r="B753" s="1" t="n">
        <v>45701</v>
      </c>
      <c r="C753" s="1" t="n">
        <v>45739</v>
      </c>
      <c r="D753" t="inlineStr">
        <is>
          <t>ÖREBRO LÄN</t>
        </is>
      </c>
      <c r="E753" t="inlineStr">
        <is>
          <t>LAXÅ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6904-2025</t>
        </is>
      </c>
      <c r="B754" s="1" t="n">
        <v>45701</v>
      </c>
      <c r="C754" s="1" t="n">
        <v>45739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6902-2025</t>
        </is>
      </c>
      <c r="B755" s="1" t="n">
        <v>45701</v>
      </c>
      <c r="C755" s="1" t="n">
        <v>45739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6905-2025</t>
        </is>
      </c>
      <c r="B756" s="1" t="n">
        <v>45701</v>
      </c>
      <c r="C756" s="1" t="n">
        <v>45739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6901-2025</t>
        </is>
      </c>
      <c r="B757" s="1" t="n">
        <v>45701</v>
      </c>
      <c r="C757" s="1" t="n">
        <v>45739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8517-2025</t>
        </is>
      </c>
      <c r="B758" s="1" t="n">
        <v>45709</v>
      </c>
      <c r="C758" s="1" t="n">
        <v>45739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8521-2025</t>
        </is>
      </c>
      <c r="B759" s="1" t="n">
        <v>45709</v>
      </c>
      <c r="C759" s="1" t="n">
        <v>45739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8530-2025</t>
        </is>
      </c>
      <c r="B760" s="1" t="n">
        <v>45709</v>
      </c>
      <c r="C760" s="1" t="n">
        <v>45739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8533-2025</t>
        </is>
      </c>
      <c r="B761" s="1" t="n">
        <v>45709</v>
      </c>
      <c r="C761" s="1" t="n">
        <v>45739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11291-2025</t>
        </is>
      </c>
      <c r="B762" s="1" t="n">
        <v>45726</v>
      </c>
      <c r="C762" s="1" t="n">
        <v>45739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11611-2025</t>
        </is>
      </c>
      <c r="B763" s="1" t="n">
        <v>45727</v>
      </c>
      <c r="C763" s="1" t="n">
        <v>45739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13102-2025</t>
        </is>
      </c>
      <c r="B764" s="1" t="n">
        <v>45734</v>
      </c>
      <c r="C764" s="1" t="n">
        <v>45739</v>
      </c>
      <c r="D764" t="inlineStr">
        <is>
          <t>ÖREBRO LÄN</t>
        </is>
      </c>
      <c r="E764" t="inlineStr">
        <is>
          <t>LAXÅ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13104-2025</t>
        </is>
      </c>
      <c r="B765" s="1" t="n">
        <v>45734</v>
      </c>
      <c r="C765" s="1" t="n">
        <v>45739</v>
      </c>
      <c r="D765" t="inlineStr">
        <is>
          <t>ÖREBRO LÄN</t>
        </is>
      </c>
      <c r="E765" t="inlineStr">
        <is>
          <t>LAXÅ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13101-2025</t>
        </is>
      </c>
      <c r="B766" s="1" t="n">
        <v>45734</v>
      </c>
      <c r="C766" s="1" t="n">
        <v>45739</v>
      </c>
      <c r="D766" t="inlineStr">
        <is>
          <t>ÖREBRO LÄN</t>
        </is>
      </c>
      <c r="E766" t="inlineStr">
        <is>
          <t>LAXÅ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12962-2025</t>
        </is>
      </c>
      <c r="B767" s="1" t="n">
        <v>45734</v>
      </c>
      <c r="C767" s="1" t="n">
        <v>45739</v>
      </c>
      <c r="D767" t="inlineStr">
        <is>
          <t>ÖREBRO LÄN</t>
        </is>
      </c>
      <c r="E767" t="inlineStr">
        <is>
          <t>LAXÅ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12964-2025</t>
        </is>
      </c>
      <c r="B768" s="1" t="n">
        <v>45734</v>
      </c>
      <c r="C768" s="1" t="n">
        <v>45739</v>
      </c>
      <c r="D768" t="inlineStr">
        <is>
          <t>ÖREBRO LÄN</t>
        </is>
      </c>
      <c r="E768" t="inlineStr">
        <is>
          <t>LAXÅ</t>
        </is>
      </c>
      <c r="F768" t="inlineStr">
        <is>
          <t>Sveaskog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45739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12961-2025</t>
        </is>
      </c>
      <c r="B770" s="1" t="n">
        <v>45734</v>
      </c>
      <c r="C770" s="1" t="n">
        <v>45739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2025-03-23T17:29:07Z</dcterms:created>
  <dcterms:modified xmlns:dcterms="http://purl.org/dc/terms/" xmlns:xsi="http://www.w3.org/2001/XMLSchema-instance" xsi:type="dcterms:W3CDTF">2025-03-23T17:29:07Z</dcterms:modified>
</cp:coreProperties>
</file>