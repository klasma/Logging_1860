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1909-2022</t>
        </is>
      </c>
      <c r="B2" t="inlineStr">
        <is>
          <t>samrådsanmälan</t>
        </is>
      </c>
      <c r="C2" t="inlineStr">
        <is>
          <t>Askåterföring</t>
        </is>
      </c>
      <c r="D2" s="1" t="n">
        <v>44662</v>
      </c>
      <c r="E2" s="1" t="n">
        <v>46222</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2">
        <f>HYPERLINK("https://klasma.github.io/Logging_1860/artfynd/S 1909-2022 artfynd.xlsx", "S 1909-2022")</f>
        <v/>
      </c>
      <c r="W2">
        <f>HYPERLINK("https://klasma.github.io/Logging_1860/kartor/S 1909-2022 karta.png", "S 1909-2022")</f>
        <v/>
      </c>
      <c r="Y2">
        <f>HYPERLINK("https://klasma.github.io/Logging_1860/klagomål/S 1909-2022 FSC-klagomål.docx", "S 1909-2022")</f>
        <v/>
      </c>
      <c r="Z2">
        <f>HYPERLINK("https://klasma.github.io/Logging_1860/klagomålsmail/S 1909-2022 FSC-klagomål mail.docx", "S 1909-2022")</f>
        <v/>
      </c>
      <c r="AA2">
        <f>HYPERLINK("https://klasma.github.io/Logging_1860/tillsyn/S 1909-2022 tillsynsbegäran.docx", "S 1909-2022")</f>
        <v/>
      </c>
      <c r="AB2">
        <f>HYPERLINK("https://klasma.github.io/Logging_1860/tillsynsmail/S 1909-2022 tillsynsbegäran mail.docx", "S 1909-2022")</f>
        <v/>
      </c>
      <c r="AC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46222</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s="2" t="inlineStr">
        <is>
          <t>Hållav
Kattfotslav
Motaggsvamp
Talltita
Tretåig hackspett
Björksplintborre
Blåmossa
Bronshjon
Kornknutmossa
Rostfläck
Thomsons trägnagare
Vågbandad barkbock
Spillkråka
Tjäder
Gröngöling
Nattviol
Revlummer</t>
        </is>
      </c>
      <c r="V3">
        <f>HYPERLINK("https://klasma.github.io/Logging_1860/artfynd/A 50773-2022 artfynd.xlsx", "A 50773-2022")</f>
        <v/>
      </c>
      <c r="W3">
        <f>HYPERLINK("https://klasma.github.io/Logging_1860/kartor/A 50773-2022 karta.png", "A 50773-2022")</f>
        <v/>
      </c>
      <c r="Y3">
        <f>HYPERLINK("https://klasma.github.io/Logging_1860/klagomål/A 50773-2022 FSC-klagomål.docx", "A 50773-2022")</f>
        <v/>
      </c>
      <c r="Z3">
        <f>HYPERLINK("https://klasma.github.io/Logging_1860/klagomålsmail/A 50773-2022 FSC-klagomål mail.docx", "A 50773-2022")</f>
        <v/>
      </c>
      <c r="AA3">
        <f>HYPERLINK("https://klasma.github.io/Logging_1860/tillsyn/A 50773-2022 tillsynsbegäran.docx", "A 50773-2022")</f>
        <v/>
      </c>
      <c r="AB3">
        <f>HYPERLINK("https://klasma.github.io/Logging_1860/tillsynsmail/A 50773-2022 tillsynsbegäran mail.docx", "A 50773-2022")</f>
        <v/>
      </c>
      <c r="AC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46222</v>
      </c>
      <c r="F4" t="inlineStr">
        <is>
          <t>ÖREBRO LÄN</t>
        </is>
      </c>
      <c r="G4" t="inlineStr">
        <is>
          <t>LAXÅ</t>
        </is>
      </c>
      <c r="H4" t="inlineStr">
        <is>
          <t>Sveaskog</t>
        </is>
      </c>
      <c r="I4" t="n">
        <v>755.7</v>
      </c>
      <c r="J4" t="n">
        <v>4</v>
      </c>
      <c r="K4" t="n">
        <v>5</v>
      </c>
      <c r="L4" t="n">
        <v>4</v>
      </c>
      <c r="M4" t="n">
        <v>1</v>
      </c>
      <c r="N4" t="n">
        <v>0</v>
      </c>
      <c r="O4" t="n">
        <v>0</v>
      </c>
      <c r="P4" t="n">
        <v>0</v>
      </c>
      <c r="Q4" t="n">
        <v>5</v>
      </c>
      <c r="R4" t="n">
        <v>1</v>
      </c>
      <c r="S4" t="n">
        <v>14</v>
      </c>
      <c r="T4" t="n">
        <v>48</v>
      </c>
      <c r="U4" s="2" t="inlineStr">
        <is>
          <t>Garnlav
Motaggsvamp
Skarp dropptaggsvamp
Skogshare
Tallticka
Blåmossa
Flagellkvastmossa
Nästlav
Tibast
Vågbandad barkbock
Tjäder
Vanlig groda
Blodnycklar × fläcknycklar
Fläcknycklar</t>
        </is>
      </c>
      <c r="V4">
        <f>HYPERLINK("https://klasma.github.io/Logging_1860/artfynd/S 3853-2024 artfynd.xlsx", "S 3853-2024")</f>
        <v/>
      </c>
      <c r="W4">
        <f>HYPERLINK("https://klasma.github.io/Logging_1860/kartor/S 3853-2024 karta.png", "S 3853-2024")</f>
        <v/>
      </c>
      <c r="Y4">
        <f>HYPERLINK("https://klasma.github.io/Logging_1860/klagomål/S 3853-2024 FSC-klagomål.docx", "S 3853-2024")</f>
        <v/>
      </c>
      <c r="Z4">
        <f>HYPERLINK("https://klasma.github.io/Logging_1860/klagomålsmail/S 3853-2024 FSC-klagomål mail.docx", "S 3853-2024")</f>
        <v/>
      </c>
      <c r="AA4">
        <f>HYPERLINK("https://klasma.github.io/Logging_1860/tillsyn/S 3853-2024 tillsynsbegäran.docx", "S 3853-2024")</f>
        <v/>
      </c>
      <c r="AB4">
        <f>HYPERLINK("https://klasma.github.io/Logging_1860/tillsynsmail/S 3853-2024 tillsynsbegäran mail.docx", "S 3853-2024")</f>
        <v/>
      </c>
      <c r="AC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46222</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s="2" t="inlineStr">
        <is>
          <t>Talltita
Älg
Björksplintborre
Bronshjon
Mindre märgborre
Vågbandad barkbock
Mattlummer
Spillkråka
Tjäder
Revlummer</t>
        </is>
      </c>
      <c r="V5">
        <f>HYPERLINK("https://klasma.github.io/Logging_1860/artfynd/A 22875-2026 artfynd.xlsx", "A 22875-2026")</f>
        <v/>
      </c>
      <c r="W5">
        <f>HYPERLINK("https://klasma.github.io/Logging_1860/kartor/A 22875-2026 karta.png", "A 22875-2026")</f>
        <v/>
      </c>
      <c r="Y5">
        <f>HYPERLINK("https://klasma.github.io/Logging_1860/klagomål/A 22875-2026 FSC-klagomål.docx", "A 22875-2026")</f>
        <v/>
      </c>
      <c r="Z5">
        <f>HYPERLINK("https://klasma.github.io/Logging_1860/klagomålsmail/A 22875-2026 FSC-klagomål mail.docx", "A 22875-2026")</f>
        <v/>
      </c>
      <c r="AA5">
        <f>HYPERLINK("https://klasma.github.io/Logging_1860/tillsyn/A 22875-2026 tillsynsbegäran.docx", "A 22875-2026")</f>
        <v/>
      </c>
      <c r="AB5">
        <f>HYPERLINK("https://klasma.github.io/Logging_1860/tillsynsmail/A 22875-2026 tillsynsbegäran mail.docx", "A 22875-2026")</f>
        <v/>
      </c>
      <c r="AC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46222</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s="2" t="inlineStr">
        <is>
          <t>Dropptaggsvamp
Tretåig hackspett
Bronshjon
Thomsons trägnagare
Vågbandad barkbock
Mattlummer
Spillkråka
Tjäder</t>
        </is>
      </c>
      <c r="V6">
        <f>HYPERLINK("https://klasma.github.io/Logging_1860/artfynd/A 60589-2025 artfynd.xlsx", "A 60589-2025")</f>
        <v/>
      </c>
      <c r="W6">
        <f>HYPERLINK("https://klasma.github.io/Logging_1860/kartor/A 60589-2025 karta.png", "A 60589-2025")</f>
        <v/>
      </c>
      <c r="Y6">
        <f>HYPERLINK("https://klasma.github.io/Logging_1860/klagomål/A 60589-2025 FSC-klagomål.docx", "A 60589-2025")</f>
        <v/>
      </c>
      <c r="Z6">
        <f>HYPERLINK("https://klasma.github.io/Logging_1860/klagomålsmail/A 60589-2025 FSC-klagomål mail.docx", "A 60589-2025")</f>
        <v/>
      </c>
      <c r="AA6">
        <f>HYPERLINK("https://klasma.github.io/Logging_1860/tillsyn/A 60589-2025 tillsynsbegäran.docx", "A 60589-2025")</f>
        <v/>
      </c>
      <c r="AB6">
        <f>HYPERLINK("https://klasma.github.io/Logging_1860/tillsynsmail/A 60589-2025 tillsynsbegäran mail.docx", "A 60589-2025")</f>
        <v/>
      </c>
      <c r="AC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46222</v>
      </c>
      <c r="F7" t="inlineStr">
        <is>
          <t>ÖREBRO LÄN</t>
        </is>
      </c>
      <c r="G7" t="inlineStr">
        <is>
          <t>LAXÅ</t>
        </is>
      </c>
      <c r="I7" t="n">
        <v>2.8</v>
      </c>
      <c r="J7" t="n">
        <v>6</v>
      </c>
      <c r="K7" t="n">
        <v>2</v>
      </c>
      <c r="L7" t="n">
        <v>1</v>
      </c>
      <c r="M7" t="n">
        <v>0</v>
      </c>
      <c r="N7" t="n">
        <v>0</v>
      </c>
      <c r="O7" t="n">
        <v>0</v>
      </c>
      <c r="P7" t="n">
        <v>0</v>
      </c>
      <c r="Q7" t="n">
        <v>1</v>
      </c>
      <c r="R7" t="n">
        <v>0</v>
      </c>
      <c r="S7" t="n">
        <v>8</v>
      </c>
      <c r="T7" t="n">
        <v>12</v>
      </c>
      <c r="U7" s="2" t="inlineStr">
        <is>
          <t>Talltita
Björksplintborre
Thomsons trägnagare
Spillkråka
Buskskvätta
Grönsiska
Kungsfågel
Ärtsångare</t>
        </is>
      </c>
      <c r="V7">
        <f>HYPERLINK("https://klasma.github.io/Logging_1860/artfynd/A 59606-2023 artfynd.xlsx", "A 59606-2023")</f>
        <v/>
      </c>
      <c r="W7">
        <f>HYPERLINK("https://klasma.github.io/Logging_1860/kartor/A 59606-2023 karta.png", "A 59606-2023")</f>
        <v/>
      </c>
      <c r="Y7">
        <f>HYPERLINK("https://klasma.github.io/Logging_1860/klagomål/A 59606-2023 FSC-klagomål.docx", "A 59606-2023")</f>
        <v/>
      </c>
      <c r="Z7">
        <f>HYPERLINK("https://klasma.github.io/Logging_1860/klagomålsmail/A 59606-2023 FSC-klagomål mail.docx", "A 59606-2023")</f>
        <v/>
      </c>
      <c r="AA7">
        <f>HYPERLINK("https://klasma.github.io/Logging_1860/tillsyn/A 59606-2023 tillsynsbegäran.docx", "A 59606-2023")</f>
        <v/>
      </c>
      <c r="AB7">
        <f>HYPERLINK("https://klasma.github.io/Logging_1860/tillsynsmail/A 59606-2023 tillsynsbegäran mail.docx", "A 59606-2023")</f>
        <v/>
      </c>
      <c r="AC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46222</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s="2" t="inlineStr">
        <is>
          <t>Fjällig taggsvamp s.str.
Tretåig hackspett
Vågbandad barkbock
Mattlummer
Spillkråka
Tjäder
Revlummer</t>
        </is>
      </c>
      <c r="V8">
        <f>HYPERLINK("https://klasma.github.io/Logging_1860/artfynd/A 50765-2022 artfynd.xlsx", "A 50765-2022")</f>
        <v/>
      </c>
      <c r="W8">
        <f>HYPERLINK("https://klasma.github.io/Logging_1860/kartor/A 50765-2022 karta.png", "A 50765-2022")</f>
        <v/>
      </c>
      <c r="Y8">
        <f>HYPERLINK("https://klasma.github.io/Logging_1860/klagomål/A 50765-2022 FSC-klagomål.docx", "A 50765-2022")</f>
        <v/>
      </c>
      <c r="Z8">
        <f>HYPERLINK("https://klasma.github.io/Logging_1860/klagomålsmail/A 50765-2022 FSC-klagomål mail.docx", "A 50765-2022")</f>
        <v/>
      </c>
      <c r="AA8">
        <f>HYPERLINK("https://klasma.github.io/Logging_1860/tillsyn/A 50765-2022 tillsynsbegäran.docx", "A 50765-2022")</f>
        <v/>
      </c>
      <c r="AB8">
        <f>HYPERLINK("https://klasma.github.io/Logging_1860/tillsynsmail/A 50765-2022 tillsynsbegäran mail.docx", "A 50765-2022")</f>
        <v/>
      </c>
      <c r="AC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46222</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s="2" t="inlineStr">
        <is>
          <t>Dropptaggsvamp
Björksplintborre
Bronshjon
Spillkråka
Tjäder
Orre</t>
        </is>
      </c>
      <c r="V9">
        <f>HYPERLINK("https://klasma.github.io/Logging_1860/artfynd/A 54304-2022 artfynd.xlsx", "A 54304-2022")</f>
        <v/>
      </c>
      <c r="W9">
        <f>HYPERLINK("https://klasma.github.io/Logging_1860/kartor/A 54304-2022 karta.png", "A 54304-2022")</f>
        <v/>
      </c>
      <c r="Y9">
        <f>HYPERLINK("https://klasma.github.io/Logging_1860/klagomål/A 54304-2022 FSC-klagomål.docx", "A 54304-2022")</f>
        <v/>
      </c>
      <c r="Z9">
        <f>HYPERLINK("https://klasma.github.io/Logging_1860/klagomålsmail/A 54304-2022 FSC-klagomål mail.docx", "A 54304-2022")</f>
        <v/>
      </c>
      <c r="AA9">
        <f>HYPERLINK("https://klasma.github.io/Logging_1860/tillsyn/A 54304-2022 tillsynsbegäran.docx", "A 54304-2022")</f>
        <v/>
      </c>
      <c r="AB9">
        <f>HYPERLINK("https://klasma.github.io/Logging_1860/tillsynsmail/A 54304-2022 tillsynsbegäran mail.docx", "A 54304-2022")</f>
        <v/>
      </c>
      <c r="AC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46222</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s="2" t="inlineStr">
        <is>
          <t>Garnlav
Brunpudrad nållav
Kattfotslav
Vedtrappmossa
Gulnål
Tjäder</t>
        </is>
      </c>
      <c r="V10">
        <f>HYPERLINK("https://klasma.github.io/Logging_1860/artfynd/A 57488-2025 artfynd.xlsx", "A 57488-2025")</f>
        <v/>
      </c>
      <c r="W10">
        <f>HYPERLINK("https://klasma.github.io/Logging_1860/kartor/A 57488-2025 karta.png", "A 57488-2025")</f>
        <v/>
      </c>
      <c r="Y10">
        <f>HYPERLINK("https://klasma.github.io/Logging_1860/klagomål/A 57488-2025 FSC-klagomål.docx", "A 57488-2025")</f>
        <v/>
      </c>
      <c r="Z10">
        <f>HYPERLINK("https://klasma.github.io/Logging_1860/klagomålsmail/A 57488-2025 FSC-klagomål mail.docx", "A 57488-2025")</f>
        <v/>
      </c>
      <c r="AA10">
        <f>HYPERLINK("https://klasma.github.io/Logging_1860/tillsyn/A 57488-2025 tillsynsbegäran.docx", "A 57488-2025")</f>
        <v/>
      </c>
      <c r="AB10">
        <f>HYPERLINK("https://klasma.github.io/Logging_1860/tillsynsmail/A 57488-2025 tillsynsbegäran mail.docx", "A 57488-2025")</f>
        <v/>
      </c>
      <c r="AC10">
        <f>HYPERLINK("https://klasma.github.io/Logging_1860/fåglar/A 57488-2025 prioriterade fågelarter.docx", "A 57488-2025")</f>
        <v/>
      </c>
    </row>
    <row r="11" ht="15" customHeight="1">
      <c r="A11" t="inlineStr">
        <is>
          <t>A 56010-2025</t>
        </is>
      </c>
      <c r="B11" t="inlineStr">
        <is>
          <t>avverkningsanmälan</t>
        </is>
      </c>
      <c r="C11" t="inlineStr">
        <is>
          <t>Föryngringsavverkning</t>
        </is>
      </c>
      <c r="D11" s="1" t="n">
        <v>45973</v>
      </c>
      <c r="E11" s="1" t="n">
        <v>46222</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s="2" t="inlineStr">
        <is>
          <t>Tretåig hackspett
Thomsons trägnagare
Vedticka
Vågbandad barkbock
Spillkråka
Tjäder</t>
        </is>
      </c>
      <c r="V11">
        <f>HYPERLINK("https://klasma.github.io/Logging_1860/artfynd/A 56010-2025 artfynd.xlsx", "A 56010-2025")</f>
        <v/>
      </c>
      <c r="W11">
        <f>HYPERLINK("https://klasma.github.io/Logging_1860/kartor/A 56010-2025 karta.png", "A 56010-2025")</f>
        <v/>
      </c>
      <c r="Y11">
        <f>HYPERLINK("https://klasma.github.io/Logging_1860/klagomål/A 56010-2025 FSC-klagomål.docx", "A 56010-2025")</f>
        <v/>
      </c>
      <c r="Z11">
        <f>HYPERLINK("https://klasma.github.io/Logging_1860/klagomålsmail/A 56010-2025 FSC-klagomål mail.docx", "A 56010-2025")</f>
        <v/>
      </c>
      <c r="AA11">
        <f>HYPERLINK("https://klasma.github.io/Logging_1860/tillsyn/A 56010-2025 tillsynsbegäran.docx", "A 56010-2025")</f>
        <v/>
      </c>
      <c r="AB11">
        <f>HYPERLINK("https://klasma.github.io/Logging_1860/tillsynsmail/A 56010-2025 tillsynsbegäran mail.docx", "A 56010-2025")</f>
        <v/>
      </c>
      <c r="AC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46222</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s="2" t="inlineStr">
        <is>
          <t>Dropptaggsvamp
Talltita
Tretåig hackspett
Mattlummer
Spillkråka
Tjäder</t>
        </is>
      </c>
      <c r="V12">
        <f>HYPERLINK("https://klasma.github.io/Logging_1860/artfynd/A 60587-2025 artfynd.xlsx", "A 60587-2025")</f>
        <v/>
      </c>
      <c r="W12">
        <f>HYPERLINK("https://klasma.github.io/Logging_1860/kartor/A 60587-2025 karta.png", "A 60587-2025")</f>
        <v/>
      </c>
      <c r="Y12">
        <f>HYPERLINK("https://klasma.github.io/Logging_1860/klagomål/A 60587-2025 FSC-klagomål.docx", "A 60587-2025")</f>
        <v/>
      </c>
      <c r="Z12">
        <f>HYPERLINK("https://klasma.github.io/Logging_1860/klagomålsmail/A 60587-2025 FSC-klagomål mail.docx", "A 60587-2025")</f>
        <v/>
      </c>
      <c r="AA12">
        <f>HYPERLINK("https://klasma.github.io/Logging_1860/tillsyn/A 60587-2025 tillsynsbegäran.docx", "A 60587-2025")</f>
        <v/>
      </c>
      <c r="AB12">
        <f>HYPERLINK("https://klasma.github.io/Logging_1860/tillsynsmail/A 60587-2025 tillsynsbegäran mail.docx", "A 60587-2025")</f>
        <v/>
      </c>
      <c r="AC12">
        <f>HYPERLINK("https://klasma.github.io/Logging_1860/fåglar/A 60587-2025 prioriterade fågelarter.docx", "A 60587-2025")</f>
        <v/>
      </c>
    </row>
    <row r="13" ht="15" customHeight="1">
      <c r="A13" t="inlineStr">
        <is>
          <t>A 34285-2024</t>
        </is>
      </c>
      <c r="B13" t="inlineStr">
        <is>
          <t>avverkningsanmälan</t>
        </is>
      </c>
      <c r="C13" t="inlineStr">
        <is>
          <t>Föryngringsavverkning</t>
        </is>
      </c>
      <c r="D13" s="1" t="n">
        <v>45524</v>
      </c>
      <c r="E13" s="1" t="n">
        <v>46222</v>
      </c>
      <c r="F13" t="inlineStr">
        <is>
          <t>ÖREBRO LÄN</t>
        </is>
      </c>
      <c r="G13" t="inlineStr">
        <is>
          <t>LAXÅ</t>
        </is>
      </c>
      <c r="I13" t="n">
        <v>0.5</v>
      </c>
      <c r="J13" t="n">
        <v>1</v>
      </c>
      <c r="K13" t="n">
        <v>3</v>
      </c>
      <c r="L13" t="n">
        <v>2</v>
      </c>
      <c r="M13" t="n">
        <v>0</v>
      </c>
      <c r="N13" t="n">
        <v>0</v>
      </c>
      <c r="O13" t="n">
        <v>0</v>
      </c>
      <c r="P13" t="n">
        <v>0</v>
      </c>
      <c r="Q13" t="n">
        <v>2</v>
      </c>
      <c r="R13" t="n">
        <v>0</v>
      </c>
      <c r="S13" t="n">
        <v>5</v>
      </c>
      <c r="T13" t="n">
        <v>5</v>
      </c>
      <c r="U13" s="2" t="inlineStr">
        <is>
          <t>Talltita
Vedtrappmossa
Björksplintborre
Granbarkgnagare
Vågbandad barkbock</t>
        </is>
      </c>
      <c r="V13">
        <f>HYPERLINK("https://klasma.github.io/Logging_1860/artfynd/A 34285-2024 artfynd.xlsx", "A 34285-2024")</f>
        <v/>
      </c>
      <c r="W13">
        <f>HYPERLINK("https://klasma.github.io/Logging_1860/kartor/A 34285-2024 karta.png", "A 34285-2024")</f>
        <v/>
      </c>
      <c r="Y13">
        <f>HYPERLINK("https://klasma.github.io/Logging_1860/klagomål/A 34285-2024 FSC-klagomål.docx", "A 34285-2024")</f>
        <v/>
      </c>
      <c r="Z13">
        <f>HYPERLINK("https://klasma.github.io/Logging_1860/klagomålsmail/A 34285-2024 FSC-klagomål mail.docx", "A 34285-2024")</f>
        <v/>
      </c>
      <c r="AA13">
        <f>HYPERLINK("https://klasma.github.io/Logging_1860/tillsyn/A 34285-2024 tillsynsbegäran.docx", "A 34285-2024")</f>
        <v/>
      </c>
      <c r="AB13">
        <f>HYPERLINK("https://klasma.github.io/Logging_1860/tillsynsmail/A 34285-2024 tillsynsbegäran mail.docx", "A 34285-2024")</f>
        <v/>
      </c>
      <c r="AC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46222</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s="2" t="inlineStr">
        <is>
          <t>Bronshjon
Thomsons trägnagare
Vågbandad barkbock
Spillkråka
Tjäder</t>
        </is>
      </c>
      <c r="V14">
        <f>HYPERLINK("https://klasma.github.io/Logging_1860/artfynd/A 56017-2025 artfynd.xlsx", "A 56017-2025")</f>
        <v/>
      </c>
      <c r="W14">
        <f>HYPERLINK("https://klasma.github.io/Logging_1860/kartor/A 56017-2025 karta.png", "A 56017-2025")</f>
        <v/>
      </c>
      <c r="Y14">
        <f>HYPERLINK("https://klasma.github.io/Logging_1860/klagomål/A 56017-2025 FSC-klagomål.docx", "A 56017-2025")</f>
        <v/>
      </c>
      <c r="Z14">
        <f>HYPERLINK("https://klasma.github.io/Logging_1860/klagomålsmail/A 56017-2025 FSC-klagomål mail.docx", "A 56017-2025")</f>
        <v/>
      </c>
      <c r="AA14">
        <f>HYPERLINK("https://klasma.github.io/Logging_1860/tillsyn/A 56017-2025 tillsynsbegäran.docx", "A 56017-2025")</f>
        <v/>
      </c>
      <c r="AB14">
        <f>HYPERLINK("https://klasma.github.io/Logging_1860/tillsynsmail/A 56017-2025 tillsynsbegäran mail.docx", "A 56017-2025")</f>
        <v/>
      </c>
      <c r="AC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46222</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s="2" t="inlineStr">
        <is>
          <t>Dropptaggsvamp
Motaggsvamp
Tallticka
Blomkålssvamp</t>
        </is>
      </c>
      <c r="V15">
        <f>HYPERLINK("https://klasma.github.io/Logging_1860/artfynd/A 50580-2022 artfynd.xlsx", "A 50580-2022")</f>
        <v/>
      </c>
      <c r="W15">
        <f>HYPERLINK("https://klasma.github.io/Logging_1860/kartor/A 50580-2022 karta.png", "A 50580-2022")</f>
        <v/>
      </c>
      <c r="Y15">
        <f>HYPERLINK("https://klasma.github.io/Logging_1860/klagomål/A 50580-2022 FSC-klagomål.docx", "A 50580-2022")</f>
        <v/>
      </c>
      <c r="Z15">
        <f>HYPERLINK("https://klasma.github.io/Logging_1860/klagomålsmail/A 50580-2022 FSC-klagomål mail.docx", "A 50580-2022")</f>
        <v/>
      </c>
      <c r="AA15">
        <f>HYPERLINK("https://klasma.github.io/Logging_1860/tillsyn/A 50580-2022 tillsynsbegäran.docx", "A 50580-2022")</f>
        <v/>
      </c>
      <c r="AB15">
        <f>HYPERLINK("https://klasma.github.io/Logging_1860/tillsynsmail/A 50580-2022 tillsynsbegäran mail.docx", "A 50580-2022")</f>
        <v/>
      </c>
    </row>
    <row r="16" ht="15" customHeight="1">
      <c r="A16" t="inlineStr">
        <is>
          <t>A 62805-2025</t>
        </is>
      </c>
      <c r="B16" t="inlineStr">
        <is>
          <t>avverkningsanmälan</t>
        </is>
      </c>
      <c r="C16" t="inlineStr">
        <is>
          <t>Föryngringsavverkning</t>
        </is>
      </c>
      <c r="D16" s="1" t="n">
        <v>46008</v>
      </c>
      <c r="E16" s="1" t="n">
        <v>46222</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s="2" t="inlineStr">
        <is>
          <t>Talltita
Spillkråka
Orre
Vanlig groda</t>
        </is>
      </c>
      <c r="V16">
        <f>HYPERLINK("https://klasma.github.io/Logging_1860/artfynd/A 62805-2025 artfynd.xlsx", "A 62805-2025")</f>
        <v/>
      </c>
      <c r="W16">
        <f>HYPERLINK("https://klasma.github.io/Logging_1860/kartor/A 62805-2025 karta.png", "A 62805-2025")</f>
        <v/>
      </c>
      <c r="Y16">
        <f>HYPERLINK("https://klasma.github.io/Logging_1860/klagomål/A 62805-2025 FSC-klagomål.docx", "A 62805-2025")</f>
        <v/>
      </c>
      <c r="Z16">
        <f>HYPERLINK("https://klasma.github.io/Logging_1860/klagomålsmail/A 62805-2025 FSC-klagomål mail.docx", "A 62805-2025")</f>
        <v/>
      </c>
      <c r="AA16">
        <f>HYPERLINK("https://klasma.github.io/Logging_1860/tillsyn/A 62805-2025 tillsynsbegäran.docx", "A 62805-2025")</f>
        <v/>
      </c>
      <c r="AB16">
        <f>HYPERLINK("https://klasma.github.io/Logging_1860/tillsynsmail/A 62805-2025 tillsynsbegäran mail.docx", "A 62805-2025")</f>
        <v/>
      </c>
      <c r="AC16">
        <f>HYPERLINK("https://klasma.github.io/Logging_1860/fåglar/A 62805-2025 prioriterade fågelarter.docx", "A 62805-2025")</f>
        <v/>
      </c>
    </row>
    <row r="17" ht="15" customHeight="1">
      <c r="A17" t="inlineStr">
        <is>
          <t>A 60580-2025</t>
        </is>
      </c>
      <c r="B17" t="inlineStr">
        <is>
          <t>avverkningsanmälan</t>
        </is>
      </c>
      <c r="C17" t="inlineStr">
        <is>
          <t>Föryngringsavverkning</t>
        </is>
      </c>
      <c r="D17" s="1" t="n">
        <v>45996</v>
      </c>
      <c r="E17" s="1" t="n">
        <v>46222</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s="2" t="inlineStr">
        <is>
          <t>Talltita
Tretåig hackspett
Spillkråka
Tjäder</t>
        </is>
      </c>
      <c r="V17">
        <f>HYPERLINK("https://klasma.github.io/Logging_1860/artfynd/A 60580-2025 artfynd.xlsx", "A 60580-2025")</f>
        <v/>
      </c>
      <c r="W17">
        <f>HYPERLINK("https://klasma.github.io/Logging_1860/kartor/A 60580-2025 karta.png", "A 60580-2025")</f>
        <v/>
      </c>
      <c r="Y17">
        <f>HYPERLINK("https://klasma.github.io/Logging_1860/klagomål/A 60580-2025 FSC-klagomål.docx", "A 60580-2025")</f>
        <v/>
      </c>
      <c r="Z17">
        <f>HYPERLINK("https://klasma.github.io/Logging_1860/klagomålsmail/A 60580-2025 FSC-klagomål mail.docx", "A 60580-2025")</f>
        <v/>
      </c>
      <c r="AA17">
        <f>HYPERLINK("https://klasma.github.io/Logging_1860/tillsyn/A 60580-2025 tillsynsbegäran.docx", "A 60580-2025")</f>
        <v/>
      </c>
      <c r="AB17">
        <f>HYPERLINK("https://klasma.github.io/Logging_1860/tillsynsmail/A 60580-2025 tillsynsbegäran mail.docx", "A 60580-2025")</f>
        <v/>
      </c>
      <c r="AC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46222</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s="2" t="inlineStr">
        <is>
          <t>Svart skogssnigel
Tjäder
Vanlig groda
Revlummer</t>
        </is>
      </c>
      <c r="V18">
        <f>HYPERLINK("https://klasma.github.io/Logging_1860/artfynd/A 20941-2026 artfynd.xlsx", "A 20941-2026")</f>
        <v/>
      </c>
      <c r="W18">
        <f>HYPERLINK("https://klasma.github.io/Logging_1860/kartor/A 20941-2026 karta.png", "A 20941-2026")</f>
        <v/>
      </c>
      <c r="Y18">
        <f>HYPERLINK("https://klasma.github.io/Logging_1860/klagomål/A 20941-2026 FSC-klagomål.docx", "A 20941-2026")</f>
        <v/>
      </c>
      <c r="Z18">
        <f>HYPERLINK("https://klasma.github.io/Logging_1860/klagomålsmail/A 20941-2026 FSC-klagomål mail.docx", "A 20941-2026")</f>
        <v/>
      </c>
      <c r="AA18">
        <f>HYPERLINK("https://klasma.github.io/Logging_1860/tillsyn/A 20941-2026 tillsynsbegäran.docx", "A 20941-2026")</f>
        <v/>
      </c>
      <c r="AB18">
        <f>HYPERLINK("https://klasma.github.io/Logging_1860/tillsynsmail/A 20941-2026 tillsynsbegäran mail.docx", "A 20941-2026")</f>
        <v/>
      </c>
      <c r="AC18">
        <f>HYPERLINK("https://klasma.github.io/Logging_1860/fåglar/A 20941-2026 prioriterade fågelarter.docx", "A 20941-2026")</f>
        <v/>
      </c>
    </row>
    <row r="19" ht="15" customHeight="1">
      <c r="A19" t="inlineStr">
        <is>
          <t>S 6725-2022</t>
        </is>
      </c>
      <c r="B19" t="inlineStr">
        <is>
          <t>samrådsanmälan</t>
        </is>
      </c>
      <c r="C19" t="inlineStr">
        <is>
          <t>Annan skogsbruksåtgärd</t>
        </is>
      </c>
      <c r="D19" s="1" t="n">
        <v>44889</v>
      </c>
      <c r="E19" s="1" t="n">
        <v>46222</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s="2" t="inlineStr">
        <is>
          <t>Nattskärra
Kråka
Orre
Trana</t>
        </is>
      </c>
      <c r="V19">
        <f>HYPERLINK("https://klasma.github.io/Logging_1860/artfynd/S 6725-2022 artfynd.xlsx", "S 6725-2022")</f>
        <v/>
      </c>
      <c r="W19">
        <f>HYPERLINK("https://klasma.github.io/Logging_1860/kartor/S 6725-2022 karta.png", "S 6725-2022")</f>
        <v/>
      </c>
      <c r="Y19">
        <f>HYPERLINK("https://klasma.github.io/Logging_1860/klagomål/S 6725-2022 FSC-klagomål.docx", "S 6725-2022")</f>
        <v/>
      </c>
      <c r="Z19">
        <f>HYPERLINK("https://klasma.github.io/Logging_1860/klagomålsmail/S 6725-2022 FSC-klagomål mail.docx", "S 6725-2022")</f>
        <v/>
      </c>
      <c r="AA19">
        <f>HYPERLINK("https://klasma.github.io/Logging_1860/tillsyn/S 6725-2022 tillsynsbegäran.docx", "S 6725-2022")</f>
        <v/>
      </c>
      <c r="AB19">
        <f>HYPERLINK("https://klasma.github.io/Logging_1860/tillsynsmail/S 6725-2022 tillsynsbegäran mail.docx", "S 6725-2022")</f>
        <v/>
      </c>
      <c r="AC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46222</v>
      </c>
      <c r="F20" t="inlineStr">
        <is>
          <t>ÖREBRO LÄN</t>
        </is>
      </c>
      <c r="G20" t="inlineStr">
        <is>
          <t>LAXÅ</t>
        </is>
      </c>
      <c r="I20" t="n">
        <v>0.9</v>
      </c>
      <c r="J20" t="n">
        <v>3</v>
      </c>
      <c r="K20" t="n">
        <v>0</v>
      </c>
      <c r="L20" t="n">
        <v>1</v>
      </c>
      <c r="M20" t="n">
        <v>0</v>
      </c>
      <c r="N20" t="n">
        <v>0</v>
      </c>
      <c r="O20" t="n">
        <v>0</v>
      </c>
      <c r="P20" t="n">
        <v>0</v>
      </c>
      <c r="Q20" t="n">
        <v>1</v>
      </c>
      <c r="R20" t="n">
        <v>0</v>
      </c>
      <c r="S20" t="n">
        <v>3</v>
      </c>
      <c r="T20" t="n">
        <v>4</v>
      </c>
      <c r="U20" s="2" t="inlineStr">
        <is>
          <t>Järnsparv
Grönsiska
Kråka</t>
        </is>
      </c>
      <c r="V20">
        <f>HYPERLINK("https://klasma.github.io/Logging_1860/artfynd/A 34279-2024 artfynd.xlsx", "A 34279-2024")</f>
        <v/>
      </c>
      <c r="W20">
        <f>HYPERLINK("https://klasma.github.io/Logging_1860/kartor/A 34279-2024 karta.png", "A 34279-2024")</f>
        <v/>
      </c>
      <c r="Y20">
        <f>HYPERLINK("https://klasma.github.io/Logging_1860/klagomål/A 34279-2024 FSC-klagomål.docx", "A 34279-2024")</f>
        <v/>
      </c>
      <c r="Z20">
        <f>HYPERLINK("https://klasma.github.io/Logging_1860/klagomålsmail/A 34279-2024 FSC-klagomål mail.docx", "A 34279-2024")</f>
        <v/>
      </c>
      <c r="AA20">
        <f>HYPERLINK("https://klasma.github.io/Logging_1860/tillsyn/A 34279-2024 tillsynsbegäran.docx", "A 34279-2024")</f>
        <v/>
      </c>
      <c r="AB20">
        <f>HYPERLINK("https://klasma.github.io/Logging_1860/tillsynsmail/A 34279-2024 tillsynsbegäran mail.docx", "A 34279-2024")</f>
        <v/>
      </c>
      <c r="AC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46222</v>
      </c>
      <c r="F21" t="inlineStr">
        <is>
          <t>ÖREBRO LÄN</t>
        </is>
      </c>
      <c r="G21" t="inlineStr">
        <is>
          <t>LAXÅ</t>
        </is>
      </c>
      <c r="I21" t="n">
        <v>1.8</v>
      </c>
      <c r="J21" t="n">
        <v>3</v>
      </c>
      <c r="K21" t="n">
        <v>0</v>
      </c>
      <c r="L21" t="n">
        <v>1</v>
      </c>
      <c r="M21" t="n">
        <v>0</v>
      </c>
      <c r="N21" t="n">
        <v>0</v>
      </c>
      <c r="O21" t="n">
        <v>0</v>
      </c>
      <c r="P21" t="n">
        <v>0</v>
      </c>
      <c r="Q21" t="n">
        <v>1</v>
      </c>
      <c r="R21" t="n">
        <v>0</v>
      </c>
      <c r="S21" t="n">
        <v>3</v>
      </c>
      <c r="T21" t="n">
        <v>6</v>
      </c>
      <c r="U21" s="2" t="inlineStr">
        <is>
          <t>Järnsparv
Grönsiska
Kungsfågel</t>
        </is>
      </c>
      <c r="V21">
        <f>HYPERLINK("https://klasma.github.io/Logging_1860/artfynd/A 34283-2024 artfynd.xlsx", "A 34283-2024")</f>
        <v/>
      </c>
      <c r="W21">
        <f>HYPERLINK("https://klasma.github.io/Logging_1860/kartor/A 34283-2024 karta.png", "A 34283-2024")</f>
        <v/>
      </c>
      <c r="Y21">
        <f>HYPERLINK("https://klasma.github.io/Logging_1860/klagomål/A 34283-2024 FSC-klagomål.docx", "A 34283-2024")</f>
        <v/>
      </c>
      <c r="Z21">
        <f>HYPERLINK("https://klasma.github.io/Logging_1860/klagomålsmail/A 34283-2024 FSC-klagomål mail.docx", "A 34283-2024")</f>
        <v/>
      </c>
      <c r="AA21">
        <f>HYPERLINK("https://klasma.github.io/Logging_1860/tillsyn/A 34283-2024 tillsynsbegäran.docx", "A 34283-2024")</f>
        <v/>
      </c>
      <c r="AB21">
        <f>HYPERLINK("https://klasma.github.io/Logging_1860/tillsynsmail/A 34283-2024 tillsynsbegäran mail.docx", "A 34283-2024")</f>
        <v/>
      </c>
      <c r="AC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46222</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s="2" t="inlineStr">
        <is>
          <t>Borsttåg
Entita
Björksplintborre</t>
        </is>
      </c>
      <c r="V22">
        <f>HYPERLINK("https://klasma.github.io/Logging_1860/artfynd/A 61096-2023 artfynd.xlsx", "A 61096-2023")</f>
        <v/>
      </c>
      <c r="W22">
        <f>HYPERLINK("https://klasma.github.io/Logging_1860/kartor/A 61096-2023 karta.png", "A 61096-2023")</f>
        <v/>
      </c>
      <c r="Y22">
        <f>HYPERLINK("https://klasma.github.io/Logging_1860/klagomål/A 61096-2023 FSC-klagomål.docx", "A 61096-2023")</f>
        <v/>
      </c>
      <c r="Z22">
        <f>HYPERLINK("https://klasma.github.io/Logging_1860/klagomålsmail/A 61096-2023 FSC-klagomål mail.docx", "A 61096-2023")</f>
        <v/>
      </c>
      <c r="AA22">
        <f>HYPERLINK("https://klasma.github.io/Logging_1860/tillsyn/A 61096-2023 tillsynsbegäran.docx", "A 61096-2023")</f>
        <v/>
      </c>
      <c r="AB22">
        <f>HYPERLINK("https://klasma.github.io/Logging_1860/tillsynsmail/A 61096-2023 tillsynsbegäran mail.docx", "A 61096-2023")</f>
        <v/>
      </c>
      <c r="AC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46222</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s="2" t="inlineStr">
        <is>
          <t>Tretåig hackspett
Vågbandad barkbock
Tjäder</t>
        </is>
      </c>
      <c r="V23">
        <f>HYPERLINK("https://klasma.github.io/Logging_1860/artfynd/S 6726-2022 artfynd.xlsx", "S 6726-2022")</f>
        <v/>
      </c>
      <c r="W23">
        <f>HYPERLINK("https://klasma.github.io/Logging_1860/kartor/S 6726-2022 karta.png", "S 6726-2022")</f>
        <v/>
      </c>
      <c r="Y23">
        <f>HYPERLINK("https://klasma.github.io/Logging_1860/klagomål/S 6726-2022 FSC-klagomål.docx", "S 6726-2022")</f>
        <v/>
      </c>
      <c r="Z23">
        <f>HYPERLINK("https://klasma.github.io/Logging_1860/klagomålsmail/S 6726-2022 FSC-klagomål mail.docx", "S 6726-2022")</f>
        <v/>
      </c>
      <c r="AA23">
        <f>HYPERLINK("https://klasma.github.io/Logging_1860/tillsyn/S 6726-2022 tillsynsbegäran.docx", "S 6726-2022")</f>
        <v/>
      </c>
      <c r="AB23">
        <f>HYPERLINK("https://klasma.github.io/Logging_1860/tillsynsmail/S 6726-2022 tillsynsbegäran mail.docx", "S 6726-2022")</f>
        <v/>
      </c>
      <c r="AC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46222</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s="2" t="inlineStr">
        <is>
          <t>Björksplintborre
Revlummer</t>
        </is>
      </c>
      <c r="V24">
        <f>HYPERLINK("https://klasma.github.io/Logging_1860/artfynd/A 50772-2022 artfynd.xlsx", "A 50772-2022")</f>
        <v/>
      </c>
      <c r="W24">
        <f>HYPERLINK("https://klasma.github.io/Logging_1860/kartor/A 50772-2022 karta.png", "A 50772-2022")</f>
        <v/>
      </c>
      <c r="Y24">
        <f>HYPERLINK("https://klasma.github.io/Logging_1860/klagomål/A 50772-2022 FSC-klagomål.docx", "A 50772-2022")</f>
        <v/>
      </c>
      <c r="Z24">
        <f>HYPERLINK("https://klasma.github.io/Logging_1860/klagomålsmail/A 50772-2022 FSC-klagomål mail.docx", "A 50772-2022")</f>
        <v/>
      </c>
      <c r="AA24">
        <f>HYPERLINK("https://klasma.github.io/Logging_1860/tillsyn/A 50772-2022 tillsynsbegäran.docx", "A 50772-2022")</f>
        <v/>
      </c>
      <c r="AB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46222</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s="2" t="inlineStr">
        <is>
          <t>Motaggsvamp
Fläcknycklar</t>
        </is>
      </c>
      <c r="V25">
        <f>HYPERLINK("https://klasma.github.io/Logging_1860/artfynd/A 36350-2022 artfynd.xlsx", "A 36350-2022")</f>
        <v/>
      </c>
      <c r="W25">
        <f>HYPERLINK("https://klasma.github.io/Logging_1860/kartor/A 36350-2022 karta.png", "A 36350-2022")</f>
        <v/>
      </c>
      <c r="Y25">
        <f>HYPERLINK("https://klasma.github.io/Logging_1860/klagomål/A 36350-2022 FSC-klagomål.docx", "A 36350-2022")</f>
        <v/>
      </c>
      <c r="Z25">
        <f>HYPERLINK("https://klasma.github.io/Logging_1860/klagomålsmail/A 36350-2022 FSC-klagomål mail.docx", "A 36350-2022")</f>
        <v/>
      </c>
      <c r="AA25">
        <f>HYPERLINK("https://klasma.github.io/Logging_1860/tillsyn/A 36350-2022 tillsynsbegäran.docx", "A 36350-2022")</f>
        <v/>
      </c>
      <c r="AB25">
        <f>HYPERLINK("https://klasma.github.io/Logging_1860/tillsynsmail/A 36350-2022 tillsynsbegäran mail.docx", "A 36350-2022")</f>
        <v/>
      </c>
    </row>
    <row r="26" ht="15" customHeight="1">
      <c r="A26" t="inlineStr">
        <is>
          <t>A 60686-2025</t>
        </is>
      </c>
      <c r="B26" t="inlineStr">
        <is>
          <t>avverkningsanmälan</t>
        </is>
      </c>
      <c r="C26" t="inlineStr">
        <is>
          <t>Föryngringsavverkning</t>
        </is>
      </c>
      <c r="D26" s="1" t="n">
        <v>45996</v>
      </c>
      <c r="E26" s="1" t="n">
        <v>46222</v>
      </c>
      <c r="F26" t="inlineStr">
        <is>
          <t>ÖREBRO LÄN</t>
        </is>
      </c>
      <c r="G26" t="inlineStr">
        <is>
          <t>LAXÅ</t>
        </is>
      </c>
      <c r="H26" t="inlineStr">
        <is>
          <t>Sveaskog</t>
        </is>
      </c>
      <c r="I26" t="n">
        <v>0.7</v>
      </c>
      <c r="J26" t="n">
        <v>1</v>
      </c>
      <c r="K26" t="n">
        <v>0</v>
      </c>
      <c r="L26" t="n">
        <v>1</v>
      </c>
      <c r="M26" t="n">
        <v>0</v>
      </c>
      <c r="N26" t="n">
        <v>0</v>
      </c>
      <c r="O26" t="n">
        <v>0</v>
      </c>
      <c r="P26" t="n">
        <v>0</v>
      </c>
      <c r="Q26" t="n">
        <v>1</v>
      </c>
      <c r="R26" t="n">
        <v>0</v>
      </c>
      <c r="S26" t="n">
        <v>2</v>
      </c>
      <c r="T26" t="n">
        <v>2</v>
      </c>
      <c r="U26" s="2" t="inlineStr">
        <is>
          <t>Motaggsvamp
Fläcknycklar</t>
        </is>
      </c>
      <c r="V26">
        <f>HYPERLINK("https://klasma.github.io/Logging_1860/artfynd/A 60686-2025 artfynd.xlsx", "A 60686-2025")</f>
        <v/>
      </c>
      <c r="W26">
        <f>HYPERLINK("https://klasma.github.io/Logging_1860/kartor/A 60686-2025 karta.png", "A 60686-2025")</f>
        <v/>
      </c>
      <c r="Y26">
        <f>HYPERLINK("https://klasma.github.io/Logging_1860/klagomål/A 60686-2025 FSC-klagomål.docx", "A 60686-2025")</f>
        <v/>
      </c>
      <c r="Z26">
        <f>HYPERLINK("https://klasma.github.io/Logging_1860/klagomålsmail/A 60686-2025 FSC-klagomål mail.docx", "A 60686-2025")</f>
        <v/>
      </c>
      <c r="AA26">
        <f>HYPERLINK("https://klasma.github.io/Logging_1860/tillsyn/A 60686-2025 tillsynsbegäran.docx", "A 60686-2025")</f>
        <v/>
      </c>
      <c r="AB26">
        <f>HYPERLINK("https://klasma.github.io/Logging_1860/tillsynsmail/A 60686-2025 tillsynsbegäran mail.docx", "A 60686-2025")</f>
        <v/>
      </c>
    </row>
    <row r="27" ht="15" customHeight="1">
      <c r="A27" t="inlineStr">
        <is>
          <t>A 61528-2025</t>
        </is>
      </c>
      <c r="B27" t="inlineStr">
        <is>
          <t>avverkningsanmälan</t>
        </is>
      </c>
      <c r="C27" t="inlineStr">
        <is>
          <t>Föryngringsavverkning</t>
        </is>
      </c>
      <c r="D27" s="1" t="n">
        <v>46001</v>
      </c>
      <c r="E27" s="1" t="n">
        <v>46222</v>
      </c>
      <c r="F27" t="inlineStr">
        <is>
          <t>ÖREBRO LÄN</t>
        </is>
      </c>
      <c r="G27" t="inlineStr">
        <is>
          <t>LAXÅ</t>
        </is>
      </c>
      <c r="H27" t="inlineStr">
        <is>
          <t>Allmännings- och besparingsskogar</t>
        </is>
      </c>
      <c r="I27" t="n">
        <v>3.9</v>
      </c>
      <c r="J27" t="n">
        <v>2</v>
      </c>
      <c r="K27" t="n">
        <v>0</v>
      </c>
      <c r="L27" t="n">
        <v>1</v>
      </c>
      <c r="M27" t="n">
        <v>0</v>
      </c>
      <c r="N27" t="n">
        <v>0</v>
      </c>
      <c r="O27" t="n">
        <v>0</v>
      </c>
      <c r="P27" t="n">
        <v>0</v>
      </c>
      <c r="Q27" t="n">
        <v>1</v>
      </c>
      <c r="R27" t="n">
        <v>0</v>
      </c>
      <c r="S27" t="n">
        <v>2</v>
      </c>
      <c r="T27" t="n">
        <v>2</v>
      </c>
      <c r="U27" s="2" t="inlineStr">
        <is>
          <t>Talltita
Spillkråka</t>
        </is>
      </c>
      <c r="V27">
        <f>HYPERLINK("https://klasma.github.io/Logging_1860/artfynd/A 61528-2025 artfynd.xlsx", "A 61528-2025")</f>
        <v/>
      </c>
      <c r="W27">
        <f>HYPERLINK("https://klasma.github.io/Logging_1860/kartor/A 61528-2025 karta.png", "A 61528-2025")</f>
        <v/>
      </c>
      <c r="Y27">
        <f>HYPERLINK("https://klasma.github.io/Logging_1860/klagomål/A 61528-2025 FSC-klagomål.docx", "A 61528-2025")</f>
        <v/>
      </c>
      <c r="Z27">
        <f>HYPERLINK("https://klasma.github.io/Logging_1860/klagomålsmail/A 61528-2025 FSC-klagomål mail.docx", "A 61528-2025")</f>
        <v/>
      </c>
      <c r="AA27">
        <f>HYPERLINK("https://klasma.github.io/Logging_1860/tillsyn/A 61528-2025 tillsynsbegäran.docx", "A 61528-2025")</f>
        <v/>
      </c>
      <c r="AB27">
        <f>HYPERLINK("https://klasma.github.io/Logging_1860/tillsynsmail/A 61528-2025 tillsynsbegäran mail.docx", "A 61528-2025")</f>
        <v/>
      </c>
      <c r="AC27">
        <f>HYPERLINK("https://klasma.github.io/Logging_1860/fåglar/A 61528-2025 prioriterade fågelarter.docx", "A 61528-2025")</f>
        <v/>
      </c>
    </row>
    <row r="28" ht="15" customHeight="1">
      <c r="A28" t="inlineStr">
        <is>
          <t>A 54715-2023</t>
        </is>
      </c>
      <c r="B28" t="inlineStr">
        <is>
          <t>avverkningsanmälan</t>
        </is>
      </c>
      <c r="C28" t="inlineStr">
        <is>
          <t>Föryngringsavverkning</t>
        </is>
      </c>
      <c r="D28" s="1" t="n">
        <v>45236</v>
      </c>
      <c r="E28" s="1" t="n">
        <v>46222</v>
      </c>
      <c r="F28" t="inlineStr">
        <is>
          <t>ÖREBRO LÄN</t>
        </is>
      </c>
      <c r="G28" t="inlineStr">
        <is>
          <t>LAXÅ</t>
        </is>
      </c>
      <c r="H28" t="inlineStr">
        <is>
          <t>Sveaskog</t>
        </is>
      </c>
      <c r="I28" t="n">
        <v>3</v>
      </c>
      <c r="J28" t="n">
        <v>2</v>
      </c>
      <c r="K28" t="n">
        <v>0</v>
      </c>
      <c r="L28" t="n">
        <v>1</v>
      </c>
      <c r="M28" t="n">
        <v>0</v>
      </c>
      <c r="N28" t="n">
        <v>0</v>
      </c>
      <c r="O28" t="n">
        <v>0</v>
      </c>
      <c r="P28" t="n">
        <v>0</v>
      </c>
      <c r="Q28" t="n">
        <v>1</v>
      </c>
      <c r="R28" t="n">
        <v>0</v>
      </c>
      <c r="S28" t="n">
        <v>2</v>
      </c>
      <c r="T28" t="n">
        <v>2</v>
      </c>
      <c r="U28" s="2" t="inlineStr">
        <is>
          <t>Tretåig hackspett
Tjäder</t>
        </is>
      </c>
      <c r="V28">
        <f>HYPERLINK("https://klasma.github.io/Logging_1860/artfynd/A 54715-2023 artfynd.xlsx", "A 54715-2023")</f>
        <v/>
      </c>
      <c r="W28">
        <f>HYPERLINK("https://klasma.github.io/Logging_1860/kartor/A 54715-2023 karta.png", "A 54715-2023")</f>
        <v/>
      </c>
      <c r="Y28">
        <f>HYPERLINK("https://klasma.github.io/Logging_1860/klagomål/A 54715-2023 FSC-klagomål.docx", "A 54715-2023")</f>
        <v/>
      </c>
      <c r="Z28">
        <f>HYPERLINK("https://klasma.github.io/Logging_1860/klagomålsmail/A 54715-2023 FSC-klagomål mail.docx", "A 54715-2023")</f>
        <v/>
      </c>
      <c r="AA28">
        <f>HYPERLINK("https://klasma.github.io/Logging_1860/tillsyn/A 54715-2023 tillsynsbegäran.docx", "A 54715-2023")</f>
        <v/>
      </c>
      <c r="AB28">
        <f>HYPERLINK("https://klasma.github.io/Logging_1860/tillsynsmail/A 54715-2023 tillsynsbegäran mail.docx", "A 54715-2023")</f>
        <v/>
      </c>
      <c r="AC28">
        <f>HYPERLINK("https://klasma.github.io/Logging_1860/fåglar/A 54715-2023 prioriterade fågelarter.docx", "A 54715-2023")</f>
        <v/>
      </c>
    </row>
    <row r="29" ht="15" customHeight="1">
      <c r="A29" t="inlineStr">
        <is>
          <t>A 50770-2022</t>
        </is>
      </c>
      <c r="B29" t="inlineStr">
        <is>
          <t>avverkningsanmälan</t>
        </is>
      </c>
      <c r="C29" t="inlineStr">
        <is>
          <t>Föryngringsavverkning</t>
        </is>
      </c>
      <c r="D29" s="1" t="n">
        <v>44867</v>
      </c>
      <c r="E29" s="1" t="n">
        <v>46222</v>
      </c>
      <c r="F29" t="inlineStr">
        <is>
          <t>ÖREBRO LÄN</t>
        </is>
      </c>
      <c r="G29" t="inlineStr">
        <is>
          <t>LAXÅ</t>
        </is>
      </c>
      <c r="H29" t="inlineStr">
        <is>
          <t>Sveaskog</t>
        </is>
      </c>
      <c r="I29" t="n">
        <v>5.3</v>
      </c>
      <c r="J29" t="n">
        <v>2</v>
      </c>
      <c r="K29" t="n">
        <v>0</v>
      </c>
      <c r="L29" t="n">
        <v>1</v>
      </c>
      <c r="M29" t="n">
        <v>0</v>
      </c>
      <c r="N29" t="n">
        <v>0</v>
      </c>
      <c r="O29" t="n">
        <v>0</v>
      </c>
      <c r="P29" t="n">
        <v>0</v>
      </c>
      <c r="Q29" t="n">
        <v>1</v>
      </c>
      <c r="R29" t="n">
        <v>0</v>
      </c>
      <c r="S29" t="n">
        <v>2</v>
      </c>
      <c r="T29" t="n">
        <v>8</v>
      </c>
      <c r="U29" s="2" t="inlineStr">
        <is>
          <t>Tretåig hackspett
Spillkråka</t>
        </is>
      </c>
      <c r="V29">
        <f>HYPERLINK("https://klasma.github.io/Logging_1860/artfynd/A 50770-2022 artfynd.xlsx", "A 50770-2022")</f>
        <v/>
      </c>
      <c r="W29">
        <f>HYPERLINK("https://klasma.github.io/Logging_1860/kartor/A 50770-2022 karta.png", "A 50770-2022")</f>
        <v/>
      </c>
      <c r="Y29">
        <f>HYPERLINK("https://klasma.github.io/Logging_1860/klagomål/A 50770-2022 FSC-klagomål.docx", "A 50770-2022")</f>
        <v/>
      </c>
      <c r="Z29">
        <f>HYPERLINK("https://klasma.github.io/Logging_1860/klagomålsmail/A 50770-2022 FSC-klagomål mail.docx", "A 50770-2022")</f>
        <v/>
      </c>
      <c r="AA29">
        <f>HYPERLINK("https://klasma.github.io/Logging_1860/tillsyn/A 50770-2022 tillsynsbegäran.docx", "A 50770-2022")</f>
        <v/>
      </c>
      <c r="AB29">
        <f>HYPERLINK("https://klasma.github.io/Logging_1860/tillsynsmail/A 50770-2022 tillsynsbegäran mail.docx", "A 50770-2022")</f>
        <v/>
      </c>
      <c r="AC29">
        <f>HYPERLINK("https://klasma.github.io/Logging_1860/fåglar/A 50770-2022 prioriterade fågelarter.docx", "A 50770-2022")</f>
        <v/>
      </c>
    </row>
    <row r="30" ht="15" customHeight="1">
      <c r="A30" t="inlineStr">
        <is>
          <t>A 50754-2022</t>
        </is>
      </c>
      <c r="B30" t="inlineStr">
        <is>
          <t>avverkningsanmälan</t>
        </is>
      </c>
      <c r="C30" t="inlineStr">
        <is>
          <t>Föryngringsavverkning</t>
        </is>
      </c>
      <c r="D30" s="1" t="n">
        <v>44867</v>
      </c>
      <c r="E30" s="1" t="n">
        <v>46222</v>
      </c>
      <c r="F30" t="inlineStr">
        <is>
          <t>ÖREBRO LÄN</t>
        </is>
      </c>
      <c r="G30" t="inlineStr">
        <is>
          <t>LAXÅ</t>
        </is>
      </c>
      <c r="H30" t="inlineStr">
        <is>
          <t>Sveaskog</t>
        </is>
      </c>
      <c r="I30" t="n">
        <v>3.4</v>
      </c>
      <c r="J30" t="n">
        <v>2</v>
      </c>
      <c r="K30" t="n">
        <v>0</v>
      </c>
      <c r="L30" t="n">
        <v>1</v>
      </c>
      <c r="M30" t="n">
        <v>0</v>
      </c>
      <c r="N30" t="n">
        <v>0</v>
      </c>
      <c r="O30" t="n">
        <v>0</v>
      </c>
      <c r="P30" t="n">
        <v>0</v>
      </c>
      <c r="Q30" t="n">
        <v>1</v>
      </c>
      <c r="R30" t="n">
        <v>0</v>
      </c>
      <c r="S30" t="n">
        <v>2</v>
      </c>
      <c r="T30" t="n">
        <v>2</v>
      </c>
      <c r="U30" s="2" t="inlineStr">
        <is>
          <t>Talltita
Tjäder</t>
        </is>
      </c>
      <c r="V30">
        <f>HYPERLINK("https://klasma.github.io/Logging_1860/artfynd/A 50754-2022 artfynd.xlsx", "A 50754-2022")</f>
        <v/>
      </c>
      <c r="W30">
        <f>HYPERLINK("https://klasma.github.io/Logging_1860/kartor/A 50754-2022 karta.png", "A 50754-2022")</f>
        <v/>
      </c>
      <c r="Y30">
        <f>HYPERLINK("https://klasma.github.io/Logging_1860/klagomål/A 50754-2022 FSC-klagomål.docx", "A 50754-2022")</f>
        <v/>
      </c>
      <c r="Z30">
        <f>HYPERLINK("https://klasma.github.io/Logging_1860/klagomålsmail/A 50754-2022 FSC-klagomål mail.docx", "A 50754-2022")</f>
        <v/>
      </c>
      <c r="AA30">
        <f>HYPERLINK("https://klasma.github.io/Logging_1860/tillsyn/A 50754-2022 tillsynsbegäran.docx", "A 50754-2022")</f>
        <v/>
      </c>
      <c r="AB30">
        <f>HYPERLINK("https://klasma.github.io/Logging_1860/tillsynsmail/A 50754-2022 tillsynsbegäran mail.docx", "A 50754-2022")</f>
        <v/>
      </c>
      <c r="AC30">
        <f>HYPERLINK("https://klasma.github.io/Logging_1860/fåglar/A 50754-2022 prioriterade fågelarter.docx", "A 50754-2022")</f>
        <v/>
      </c>
    </row>
    <row r="31" ht="15" customHeight="1">
      <c r="A31" t="inlineStr">
        <is>
          <t>A 56004-2025</t>
        </is>
      </c>
      <c r="B31" t="inlineStr">
        <is>
          <t>avverkningsanmälan</t>
        </is>
      </c>
      <c r="C31" t="inlineStr">
        <is>
          <t>Föryngringsavverkning</t>
        </is>
      </c>
      <c r="D31" s="1" t="n">
        <v>45973</v>
      </c>
      <c r="E31" s="1" t="n">
        <v>46222</v>
      </c>
      <c r="F31" t="inlineStr">
        <is>
          <t>ÖREBRO LÄN</t>
        </is>
      </c>
      <c r="G31" t="inlineStr">
        <is>
          <t>LAXÅ</t>
        </is>
      </c>
      <c r="H31" t="inlineStr">
        <is>
          <t>Sveaskog</t>
        </is>
      </c>
      <c r="I31" t="n">
        <v>2.1</v>
      </c>
      <c r="J31" t="n">
        <v>2</v>
      </c>
      <c r="K31" t="n">
        <v>0</v>
      </c>
      <c r="L31" t="n">
        <v>1</v>
      </c>
      <c r="M31" t="n">
        <v>0</v>
      </c>
      <c r="N31" t="n">
        <v>0</v>
      </c>
      <c r="O31" t="n">
        <v>0</v>
      </c>
      <c r="P31" t="n">
        <v>0</v>
      </c>
      <c r="Q31" t="n">
        <v>1</v>
      </c>
      <c r="R31" t="n">
        <v>0</v>
      </c>
      <c r="S31" t="n">
        <v>2</v>
      </c>
      <c r="T31" t="n">
        <v>2</v>
      </c>
      <c r="U31" s="2" t="inlineStr">
        <is>
          <t>Talltita
Tjäder</t>
        </is>
      </c>
      <c r="V31">
        <f>HYPERLINK("https://klasma.github.io/Logging_1860/artfynd/A 56004-2025 artfynd.xlsx", "A 56004-2025")</f>
        <v/>
      </c>
      <c r="W31">
        <f>HYPERLINK("https://klasma.github.io/Logging_1860/kartor/A 56004-2025 karta.png", "A 56004-2025")</f>
        <v/>
      </c>
      <c r="Y31">
        <f>HYPERLINK("https://klasma.github.io/Logging_1860/klagomål/A 56004-2025 FSC-klagomål.docx", "A 56004-2025")</f>
        <v/>
      </c>
      <c r="Z31">
        <f>HYPERLINK("https://klasma.github.io/Logging_1860/klagomålsmail/A 56004-2025 FSC-klagomål mail.docx", "A 56004-2025")</f>
        <v/>
      </c>
      <c r="AA31">
        <f>HYPERLINK("https://klasma.github.io/Logging_1860/tillsyn/A 56004-2025 tillsynsbegäran.docx", "A 56004-2025")</f>
        <v/>
      </c>
      <c r="AB31">
        <f>HYPERLINK("https://klasma.github.io/Logging_1860/tillsynsmail/A 56004-2025 tillsynsbegäran mail.docx", "A 56004-2025")</f>
        <v/>
      </c>
      <c r="AC31">
        <f>HYPERLINK("https://klasma.github.io/Logging_1860/fåglar/A 56004-2025 prioriterade fågelarter.docx", "A 56004-2025")</f>
        <v/>
      </c>
    </row>
    <row r="32" ht="15" customHeight="1">
      <c r="A32" t="inlineStr">
        <is>
          <t>A 38633-2023</t>
        </is>
      </c>
      <c r="B32" t="inlineStr">
        <is>
          <t>avverkningsanmälan</t>
        </is>
      </c>
      <c r="C32" t="inlineStr">
        <is>
          <t>Föryngringsavverkning</t>
        </is>
      </c>
      <c r="D32" s="1" t="n">
        <v>45160</v>
      </c>
      <c r="E32" s="1" t="n">
        <v>46222</v>
      </c>
      <c r="F32" t="inlineStr">
        <is>
          <t>ÖREBRO LÄN</t>
        </is>
      </c>
      <c r="G32" t="inlineStr">
        <is>
          <t>LAXÅ</t>
        </is>
      </c>
      <c r="I32" t="n">
        <v>1.7</v>
      </c>
      <c r="J32" t="n">
        <v>1</v>
      </c>
      <c r="K32" t="n">
        <v>1</v>
      </c>
      <c r="L32" t="n">
        <v>0</v>
      </c>
      <c r="M32" t="n">
        <v>0</v>
      </c>
      <c r="N32" t="n">
        <v>0</v>
      </c>
      <c r="O32" t="n">
        <v>0</v>
      </c>
      <c r="P32" t="n">
        <v>0</v>
      </c>
      <c r="Q32" t="n">
        <v>0</v>
      </c>
      <c r="R32" t="n">
        <v>0</v>
      </c>
      <c r="S32" t="n">
        <v>2</v>
      </c>
      <c r="T32" t="n">
        <v>2</v>
      </c>
      <c r="U32" s="2" t="inlineStr">
        <is>
          <t>Kornknutmossa
Fläcknycklar</t>
        </is>
      </c>
      <c r="V32">
        <f>HYPERLINK("https://klasma.github.io/Logging_1860/artfynd/A 38633-2023 artfynd.xlsx", "A 38633-2023")</f>
        <v/>
      </c>
      <c r="W32">
        <f>HYPERLINK("https://klasma.github.io/Logging_1860/kartor/A 38633-2023 karta.png", "A 38633-2023")</f>
        <v/>
      </c>
      <c r="Y32">
        <f>HYPERLINK("https://klasma.github.io/Logging_1860/klagomål/A 38633-2023 FSC-klagomål.docx", "A 38633-2023")</f>
        <v/>
      </c>
      <c r="Z32">
        <f>HYPERLINK("https://klasma.github.io/Logging_1860/klagomålsmail/A 38633-2023 FSC-klagomål mail.docx", "A 38633-2023")</f>
        <v/>
      </c>
      <c r="AA32">
        <f>HYPERLINK("https://klasma.github.io/Logging_1860/tillsyn/A 38633-2023 tillsynsbegäran.docx", "A 38633-2023")</f>
        <v/>
      </c>
      <c r="AB32">
        <f>HYPERLINK("https://klasma.github.io/Logging_1860/tillsynsmail/A 38633-2023 tillsynsbegäran mail.docx", "A 38633-2023")</f>
        <v/>
      </c>
    </row>
    <row r="33" ht="15" customHeight="1">
      <c r="A33" t="inlineStr">
        <is>
          <t>A 25397-2024</t>
        </is>
      </c>
      <c r="B33" t="inlineStr">
        <is>
          <t>avverkningsanmälan</t>
        </is>
      </c>
      <c r="C33" t="inlineStr">
        <is>
          <t>Föryngringsavverkning</t>
        </is>
      </c>
      <c r="D33" s="1" t="n">
        <v>45463</v>
      </c>
      <c r="E33" s="1" t="n">
        <v>46222</v>
      </c>
      <c r="F33" t="inlineStr">
        <is>
          <t>ÖREBRO LÄN</t>
        </is>
      </c>
      <c r="G33" t="inlineStr">
        <is>
          <t>LAXÅ</t>
        </is>
      </c>
      <c r="H33" t="inlineStr">
        <is>
          <t>Övriga statliga verk och myndigheter</t>
        </is>
      </c>
      <c r="I33" t="n">
        <v>1.1</v>
      </c>
      <c r="J33" t="n">
        <v>2</v>
      </c>
      <c r="K33" t="n">
        <v>0</v>
      </c>
      <c r="L33" t="n">
        <v>1</v>
      </c>
      <c r="M33" t="n">
        <v>0</v>
      </c>
      <c r="N33" t="n">
        <v>0</v>
      </c>
      <c r="O33" t="n">
        <v>0</v>
      </c>
      <c r="P33" t="n">
        <v>0</v>
      </c>
      <c r="Q33" t="n">
        <v>1</v>
      </c>
      <c r="R33" t="n">
        <v>0</v>
      </c>
      <c r="S33" t="n">
        <v>2</v>
      </c>
      <c r="T33" t="n">
        <v>2</v>
      </c>
      <c r="U33" s="2" t="inlineStr">
        <is>
          <t>Tretåig hackspett
Spillkråka</t>
        </is>
      </c>
      <c r="V33">
        <f>HYPERLINK("https://klasma.github.io/Logging_1860/artfynd/A 25397-2024 artfynd.xlsx", "A 25397-2024")</f>
        <v/>
      </c>
      <c r="W33">
        <f>HYPERLINK("https://klasma.github.io/Logging_1860/kartor/A 25397-2024 karta.png", "A 25397-2024")</f>
        <v/>
      </c>
      <c r="Y33">
        <f>HYPERLINK("https://klasma.github.io/Logging_1860/klagomål/A 25397-2024 FSC-klagomål.docx", "A 25397-2024")</f>
        <v/>
      </c>
      <c r="Z33">
        <f>HYPERLINK("https://klasma.github.io/Logging_1860/klagomålsmail/A 25397-2024 FSC-klagomål mail.docx", "A 25397-2024")</f>
        <v/>
      </c>
      <c r="AA33">
        <f>HYPERLINK("https://klasma.github.io/Logging_1860/tillsyn/A 25397-2024 tillsynsbegäran.docx", "A 25397-2024")</f>
        <v/>
      </c>
      <c r="AB33">
        <f>HYPERLINK("https://klasma.github.io/Logging_1860/tillsynsmail/A 25397-2024 tillsynsbegäran mail.docx", "A 25397-2024")</f>
        <v/>
      </c>
      <c r="AC33">
        <f>HYPERLINK("https://klasma.github.io/Logging_1860/fåglar/A 25397-2024 prioriterade fågelarter.docx", "A 25397-2024")</f>
        <v/>
      </c>
    </row>
    <row r="34" ht="15" customHeight="1">
      <c r="A34" t="inlineStr">
        <is>
          <t>A 11018-2022</t>
        </is>
      </c>
      <c r="B34" t="inlineStr">
        <is>
          <t>avverkningsanmälan</t>
        </is>
      </c>
      <c r="C34" t="inlineStr">
        <is>
          <t>Föryngringsavverkning</t>
        </is>
      </c>
      <c r="D34" s="1" t="n">
        <v>44628</v>
      </c>
      <c r="E34" s="1" t="n">
        <v>46222</v>
      </c>
      <c r="F34" t="inlineStr">
        <is>
          <t>ÖREBRO LÄN</t>
        </is>
      </c>
      <c r="G34" t="inlineStr">
        <is>
          <t>LAXÅ</t>
        </is>
      </c>
      <c r="I34" t="n">
        <v>9.300000000000001</v>
      </c>
      <c r="J34" t="n">
        <v>1</v>
      </c>
      <c r="K34" t="n">
        <v>1</v>
      </c>
      <c r="L34" t="n">
        <v>0</v>
      </c>
      <c r="M34" t="n">
        <v>0</v>
      </c>
      <c r="N34" t="n">
        <v>0</v>
      </c>
      <c r="O34" t="n">
        <v>0</v>
      </c>
      <c r="P34" t="n">
        <v>0</v>
      </c>
      <c r="Q34" t="n">
        <v>0</v>
      </c>
      <c r="R34" t="n">
        <v>0</v>
      </c>
      <c r="S34" t="n">
        <v>2</v>
      </c>
      <c r="T34" t="n">
        <v>2</v>
      </c>
      <c r="U34" s="2" t="inlineStr">
        <is>
          <t>Västlig hakmossa
Spillkråka</t>
        </is>
      </c>
      <c r="V34">
        <f>HYPERLINK("https://klasma.github.io/Logging_1860/artfynd/A 11018-2022 artfynd.xlsx", "A 11018-2022")</f>
        <v/>
      </c>
      <c r="W34">
        <f>HYPERLINK("https://klasma.github.io/Logging_1860/kartor/A 11018-2022 karta.png", "A 11018-2022")</f>
        <v/>
      </c>
      <c r="Y34">
        <f>HYPERLINK("https://klasma.github.io/Logging_1860/klagomål/A 11018-2022 FSC-klagomål.docx", "A 11018-2022")</f>
        <v/>
      </c>
      <c r="Z34">
        <f>HYPERLINK("https://klasma.github.io/Logging_1860/klagomålsmail/A 11018-2022 FSC-klagomål mail.docx", "A 11018-2022")</f>
        <v/>
      </c>
      <c r="AA34">
        <f>HYPERLINK("https://klasma.github.io/Logging_1860/tillsyn/A 11018-2022 tillsynsbegäran.docx", "A 11018-2022")</f>
        <v/>
      </c>
      <c r="AB34">
        <f>HYPERLINK("https://klasma.github.io/Logging_1860/tillsynsmail/A 11018-2022 tillsynsbegäran mail.docx", "A 11018-2022")</f>
        <v/>
      </c>
      <c r="AC34">
        <f>HYPERLINK("https://klasma.github.io/Logging_1860/fåglar/A 11018-2022 prioriterade fågelarter.docx", "A 11018-2022")</f>
        <v/>
      </c>
    </row>
    <row r="35" ht="15" customHeight="1">
      <c r="A35" t="inlineStr">
        <is>
          <t>A 43742-2022</t>
        </is>
      </c>
      <c r="B35" t="inlineStr">
        <is>
          <t>avverkningsanmälan</t>
        </is>
      </c>
      <c r="C35" t="inlineStr">
        <is>
          <t>Avverkning för annat ändamål</t>
        </is>
      </c>
      <c r="D35" s="1" t="n">
        <v>44837</v>
      </c>
      <c r="E35" s="1" t="n">
        <v>46222</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s="2" t="inlineStr">
        <is>
          <t>Violettkantad guldvinge</t>
        </is>
      </c>
      <c r="V35">
        <f>HYPERLINK("https://klasma.github.io/Logging_1860/artfynd/A 43742-2022 artfynd.xlsx", "A 43742-2022")</f>
        <v/>
      </c>
      <c r="W35">
        <f>HYPERLINK("https://klasma.github.io/Logging_1860/kartor/A 43742-2022 karta.png", "A 43742-2022")</f>
        <v/>
      </c>
      <c r="Y35">
        <f>HYPERLINK("https://klasma.github.io/Logging_1860/klagomål/A 43742-2022 FSC-klagomål.docx", "A 43742-2022")</f>
        <v/>
      </c>
      <c r="Z35">
        <f>HYPERLINK("https://klasma.github.io/Logging_1860/klagomålsmail/A 43742-2022 FSC-klagomål mail.docx", "A 43742-2022")</f>
        <v/>
      </c>
      <c r="AA35">
        <f>HYPERLINK("https://klasma.github.io/Logging_1860/tillsyn/A 43742-2022 tillsynsbegäran.docx", "A 43742-2022")</f>
        <v/>
      </c>
      <c r="AB35">
        <f>HYPERLINK("https://klasma.github.io/Logging_1860/tillsynsmail/A 43742-2022 tillsynsbegäran mail.docx", "A 43742-2022")</f>
        <v/>
      </c>
    </row>
    <row r="36" ht="15" customHeight="1">
      <c r="A36" t="inlineStr">
        <is>
          <t>A 34371-2025</t>
        </is>
      </c>
      <c r="B36" t="inlineStr">
        <is>
          <t>avverkningsanmälan</t>
        </is>
      </c>
      <c r="C36" t="inlineStr">
        <is>
          <t>Föryngringsavverkning</t>
        </is>
      </c>
      <c r="D36" s="1" t="n">
        <v>45846</v>
      </c>
      <c r="E36" s="1" t="n">
        <v>46222</v>
      </c>
      <c r="F36" t="inlineStr">
        <is>
          <t>ÖREBRO LÄN</t>
        </is>
      </c>
      <c r="G36" t="inlineStr">
        <is>
          <t>LAXÅ</t>
        </is>
      </c>
      <c r="H36" t="inlineStr">
        <is>
          <t>Allmännings- och besparingsskogar</t>
        </is>
      </c>
      <c r="I36" t="n">
        <v>7.8</v>
      </c>
      <c r="J36" t="n">
        <v>0</v>
      </c>
      <c r="K36" t="n">
        <v>0</v>
      </c>
      <c r="L36" t="n">
        <v>1</v>
      </c>
      <c r="M36" t="n">
        <v>0</v>
      </c>
      <c r="N36" t="n">
        <v>0</v>
      </c>
      <c r="O36" t="n">
        <v>0</v>
      </c>
      <c r="P36" t="n">
        <v>0</v>
      </c>
      <c r="Q36" t="n">
        <v>1</v>
      </c>
      <c r="R36" t="n">
        <v>0</v>
      </c>
      <c r="S36" t="n">
        <v>1</v>
      </c>
      <c r="T36" t="n">
        <v>2</v>
      </c>
      <c r="U36" s="2" t="inlineStr">
        <is>
          <t>Vedtrappmossa</t>
        </is>
      </c>
      <c r="V36">
        <f>HYPERLINK("https://klasma.github.io/Logging_1860/artfynd/A 34371-2025 artfynd.xlsx", "A 34371-2025")</f>
        <v/>
      </c>
      <c r="W36">
        <f>HYPERLINK("https://klasma.github.io/Logging_1860/kartor/A 34371-2025 karta.png", "A 34371-2025")</f>
        <v/>
      </c>
      <c r="Y36">
        <f>HYPERLINK("https://klasma.github.io/Logging_1860/klagomål/A 34371-2025 FSC-klagomål.docx", "A 34371-2025")</f>
        <v/>
      </c>
      <c r="Z36">
        <f>HYPERLINK("https://klasma.github.io/Logging_1860/klagomålsmail/A 34371-2025 FSC-klagomål mail.docx", "A 34371-2025")</f>
        <v/>
      </c>
      <c r="AA36">
        <f>HYPERLINK("https://klasma.github.io/Logging_1860/tillsyn/A 34371-2025 tillsynsbegäran.docx", "A 34371-2025")</f>
        <v/>
      </c>
      <c r="AB36">
        <f>HYPERLINK("https://klasma.github.io/Logging_1860/tillsynsmail/A 34371-2025 tillsynsbegäran mail.docx", "A 34371-2025")</f>
        <v/>
      </c>
    </row>
    <row r="37" ht="15" customHeight="1">
      <c r="A37" t="inlineStr">
        <is>
          <t>A 28524-2022</t>
        </is>
      </c>
      <c r="B37" t="inlineStr">
        <is>
          <t>avverkningsanmälan</t>
        </is>
      </c>
      <c r="C37" t="inlineStr">
        <is>
          <t>Föryngringsavverkning</t>
        </is>
      </c>
      <c r="D37" s="1" t="n">
        <v>44748</v>
      </c>
      <c r="E37" s="1" t="n">
        <v>46222</v>
      </c>
      <c r="F37" t="inlineStr">
        <is>
          <t>ÖREBRO LÄN</t>
        </is>
      </c>
      <c r="G37" t="inlineStr">
        <is>
          <t>LAXÅ</t>
        </is>
      </c>
      <c r="H37" t="inlineStr">
        <is>
          <t>Sveaskog</t>
        </is>
      </c>
      <c r="I37" t="n">
        <v>5.4</v>
      </c>
      <c r="J37" t="n">
        <v>1</v>
      </c>
      <c r="K37" t="n">
        <v>0</v>
      </c>
      <c r="L37" t="n">
        <v>0</v>
      </c>
      <c r="M37" t="n">
        <v>0</v>
      </c>
      <c r="N37" t="n">
        <v>0</v>
      </c>
      <c r="O37" t="n">
        <v>0</v>
      </c>
      <c r="P37" t="n">
        <v>0</v>
      </c>
      <c r="Q37" t="n">
        <v>0</v>
      </c>
      <c r="R37" t="n">
        <v>0</v>
      </c>
      <c r="S37" t="n">
        <v>1</v>
      </c>
      <c r="T37" t="n">
        <v>1</v>
      </c>
      <c r="U37" s="2" t="inlineStr">
        <is>
          <t>Nattskärra</t>
        </is>
      </c>
      <c r="V37">
        <f>HYPERLINK("https://klasma.github.io/Logging_1860/artfynd/A 28524-2022 artfynd.xlsx", "A 28524-2022")</f>
        <v/>
      </c>
      <c r="W37">
        <f>HYPERLINK("https://klasma.github.io/Logging_1860/kartor/A 28524-2022 karta.png", "A 28524-2022")</f>
        <v/>
      </c>
      <c r="Y37">
        <f>HYPERLINK("https://klasma.github.io/Logging_1860/klagomål/A 28524-2022 FSC-klagomål.docx", "A 28524-2022")</f>
        <v/>
      </c>
      <c r="Z37">
        <f>HYPERLINK("https://klasma.github.io/Logging_1860/klagomålsmail/A 28524-2022 FSC-klagomål mail.docx", "A 28524-2022")</f>
        <v/>
      </c>
      <c r="AA37">
        <f>HYPERLINK("https://klasma.github.io/Logging_1860/tillsyn/A 28524-2022 tillsynsbegäran.docx", "A 28524-2022")</f>
        <v/>
      </c>
      <c r="AB37">
        <f>HYPERLINK("https://klasma.github.io/Logging_1860/tillsynsmail/A 28524-2022 tillsynsbegäran mail.docx", "A 28524-2022")</f>
        <v/>
      </c>
      <c r="AC37">
        <f>HYPERLINK("https://klasma.github.io/Logging_1860/fåglar/A 28524-2022 prioriterade fågelarter.docx", "A 28524-2022")</f>
        <v/>
      </c>
    </row>
    <row r="38" ht="15" customHeight="1">
      <c r="A38" t="inlineStr">
        <is>
          <t>A 18837-2025</t>
        </is>
      </c>
      <c r="B38" t="inlineStr">
        <is>
          <t>avverkningsanmälan</t>
        </is>
      </c>
      <c r="C38" t="inlineStr">
        <is>
          <t>Föryngringsavverkning</t>
        </is>
      </c>
      <c r="D38" s="1" t="n">
        <v>45764</v>
      </c>
      <c r="E38" s="1" t="n">
        <v>46222</v>
      </c>
      <c r="F38" t="inlineStr">
        <is>
          <t>ÖREBRO LÄN</t>
        </is>
      </c>
      <c r="G38" t="inlineStr">
        <is>
          <t>LAXÅ</t>
        </is>
      </c>
      <c r="H38" t="inlineStr">
        <is>
          <t>Sveaskog</t>
        </is>
      </c>
      <c r="I38" t="n">
        <v>5</v>
      </c>
      <c r="J38" t="n">
        <v>0</v>
      </c>
      <c r="K38" t="n">
        <v>1</v>
      </c>
      <c r="L38" t="n">
        <v>0</v>
      </c>
      <c r="M38" t="n">
        <v>0</v>
      </c>
      <c r="N38" t="n">
        <v>0</v>
      </c>
      <c r="O38" t="n">
        <v>0</v>
      </c>
      <c r="P38" t="n">
        <v>0</v>
      </c>
      <c r="Q38" t="n">
        <v>0</v>
      </c>
      <c r="R38" t="n">
        <v>0</v>
      </c>
      <c r="S38" t="n">
        <v>1</v>
      </c>
      <c r="T38" t="n">
        <v>1</v>
      </c>
      <c r="U38" s="2" t="inlineStr">
        <is>
          <t>Kambräken</t>
        </is>
      </c>
      <c r="V38">
        <f>HYPERLINK("https://klasma.github.io/Logging_1860/artfynd/A 18837-2025 artfynd.xlsx", "A 18837-2025")</f>
        <v/>
      </c>
      <c r="W38">
        <f>HYPERLINK("https://klasma.github.io/Logging_1860/kartor/A 18837-2025 karta.png", "A 18837-2025")</f>
        <v/>
      </c>
      <c r="Y38">
        <f>HYPERLINK("https://klasma.github.io/Logging_1860/klagomål/A 18837-2025 FSC-klagomål.docx", "A 18837-2025")</f>
        <v/>
      </c>
      <c r="Z38">
        <f>HYPERLINK("https://klasma.github.io/Logging_1860/klagomålsmail/A 18837-2025 FSC-klagomål mail.docx", "A 18837-2025")</f>
        <v/>
      </c>
      <c r="AA38">
        <f>HYPERLINK("https://klasma.github.io/Logging_1860/tillsyn/A 18837-2025 tillsynsbegäran.docx", "A 18837-2025")</f>
        <v/>
      </c>
      <c r="AB38">
        <f>HYPERLINK("https://klasma.github.io/Logging_1860/tillsynsmail/A 18837-2025 tillsynsbegäran mail.docx", "A 18837-2025")</f>
        <v/>
      </c>
    </row>
    <row r="39" ht="15" customHeight="1">
      <c r="A39" t="inlineStr">
        <is>
          <t>A 10622-2023</t>
        </is>
      </c>
      <c r="B39" t="inlineStr">
        <is>
          <t>avverkningsanmälan</t>
        </is>
      </c>
      <c r="C39" t="inlineStr">
        <is>
          <t>Föryngringsavverkning</t>
        </is>
      </c>
      <c r="D39" s="1" t="n">
        <v>44988</v>
      </c>
      <c r="E39" s="1" t="n">
        <v>46222</v>
      </c>
      <c r="F39" t="inlineStr">
        <is>
          <t>ÖREBRO LÄN</t>
        </is>
      </c>
      <c r="G39" t="inlineStr">
        <is>
          <t>LAXÅ</t>
        </is>
      </c>
      <c r="H39" t="inlineStr">
        <is>
          <t>Sveaskog</t>
        </is>
      </c>
      <c r="I39" t="n">
        <v>1.7</v>
      </c>
      <c r="J39" t="n">
        <v>0</v>
      </c>
      <c r="K39" t="n">
        <v>0</v>
      </c>
      <c r="L39" t="n">
        <v>1</v>
      </c>
      <c r="M39" t="n">
        <v>0</v>
      </c>
      <c r="N39" t="n">
        <v>0</v>
      </c>
      <c r="O39" t="n">
        <v>0</v>
      </c>
      <c r="P39" t="n">
        <v>0</v>
      </c>
      <c r="Q39" t="n">
        <v>1</v>
      </c>
      <c r="R39" t="n">
        <v>0</v>
      </c>
      <c r="S39" t="n">
        <v>1</v>
      </c>
      <c r="T39" t="n">
        <v>1</v>
      </c>
      <c r="U39" s="2" t="inlineStr">
        <is>
          <t>Gullklöver</t>
        </is>
      </c>
      <c r="V39">
        <f>HYPERLINK("https://klasma.github.io/Logging_1860/artfynd/A 10622-2023 artfynd.xlsx", "A 10622-2023")</f>
        <v/>
      </c>
      <c r="W39">
        <f>HYPERLINK("https://klasma.github.io/Logging_1860/kartor/A 10622-2023 karta.png", "A 10622-2023")</f>
        <v/>
      </c>
      <c r="Y39">
        <f>HYPERLINK("https://klasma.github.io/Logging_1860/klagomål/A 10622-2023 FSC-klagomål.docx", "A 10622-2023")</f>
        <v/>
      </c>
      <c r="Z39">
        <f>HYPERLINK("https://klasma.github.io/Logging_1860/klagomålsmail/A 10622-2023 FSC-klagomål mail.docx", "A 10622-2023")</f>
        <v/>
      </c>
      <c r="AA39">
        <f>HYPERLINK("https://klasma.github.io/Logging_1860/tillsyn/A 10622-2023 tillsynsbegäran.docx", "A 10622-2023")</f>
        <v/>
      </c>
      <c r="AB39">
        <f>HYPERLINK("https://klasma.github.io/Logging_1860/tillsynsmail/A 10622-2023 tillsynsbegäran mail.docx", "A 10622-2023")</f>
        <v/>
      </c>
    </row>
    <row r="40" ht="15" customHeight="1">
      <c r="A40" t="inlineStr">
        <is>
          <t>A 55120-2025</t>
        </is>
      </c>
      <c r="B40" t="inlineStr">
        <is>
          <t>avverkningsanmälan</t>
        </is>
      </c>
      <c r="C40" t="inlineStr">
        <is>
          <t>Föryngringsavverkning</t>
        </is>
      </c>
      <c r="D40" s="1" t="n">
        <v>45968</v>
      </c>
      <c r="E40" s="1" t="n">
        <v>46222</v>
      </c>
      <c r="F40" t="inlineStr">
        <is>
          <t>ÖREBRO LÄN</t>
        </is>
      </c>
      <c r="G40" t="inlineStr">
        <is>
          <t>LAXÅ</t>
        </is>
      </c>
      <c r="H40" t="inlineStr">
        <is>
          <t>Sveaskog</t>
        </is>
      </c>
      <c r="I40" t="n">
        <v>1.9</v>
      </c>
      <c r="J40" t="n">
        <v>1</v>
      </c>
      <c r="K40" t="n">
        <v>0</v>
      </c>
      <c r="L40" t="n">
        <v>0</v>
      </c>
      <c r="M40" t="n">
        <v>0</v>
      </c>
      <c r="N40" t="n">
        <v>0</v>
      </c>
      <c r="O40" t="n">
        <v>0</v>
      </c>
      <c r="P40" t="n">
        <v>0</v>
      </c>
      <c r="Q40" t="n">
        <v>0</v>
      </c>
      <c r="R40" t="n">
        <v>0</v>
      </c>
      <c r="S40" t="n">
        <v>1</v>
      </c>
      <c r="T40" t="n">
        <v>3</v>
      </c>
      <c r="U40" s="2" t="inlineStr">
        <is>
          <t>Revlummer</t>
        </is>
      </c>
      <c r="V40">
        <f>HYPERLINK("https://klasma.github.io/Logging_1860/artfynd/A 55120-2025 artfynd.xlsx", "A 55120-2025")</f>
        <v/>
      </c>
      <c r="W40">
        <f>HYPERLINK("https://klasma.github.io/Logging_1860/kartor/A 55120-2025 karta.png", "A 55120-2025")</f>
        <v/>
      </c>
      <c r="Y40">
        <f>HYPERLINK("https://klasma.github.io/Logging_1860/klagomål/A 55120-2025 FSC-klagomål.docx", "A 55120-2025")</f>
        <v/>
      </c>
      <c r="Z40">
        <f>HYPERLINK("https://klasma.github.io/Logging_1860/klagomålsmail/A 55120-2025 FSC-klagomål mail.docx", "A 55120-2025")</f>
        <v/>
      </c>
      <c r="AA40">
        <f>HYPERLINK("https://klasma.github.io/Logging_1860/tillsyn/A 55120-2025 tillsynsbegäran.docx", "A 55120-2025")</f>
        <v/>
      </c>
      <c r="AB40">
        <f>HYPERLINK("https://klasma.github.io/Logging_1860/tillsynsmail/A 55120-2025 tillsynsbegäran mail.docx", "A 55120-2025")</f>
        <v/>
      </c>
    </row>
    <row r="41" ht="15" customHeight="1">
      <c r="A41" t="inlineStr">
        <is>
          <t>A 57423-2025</t>
        </is>
      </c>
      <c r="B41" t="inlineStr">
        <is>
          <t>avverkningsanmälan</t>
        </is>
      </c>
      <c r="C41" t="inlineStr">
        <is>
          <t>Föryngringsavverkning</t>
        </is>
      </c>
      <c r="D41" s="1" t="n">
        <v>45980</v>
      </c>
      <c r="E41" s="1" t="n">
        <v>46222</v>
      </c>
      <c r="F41" t="inlineStr">
        <is>
          <t>ÖREBRO LÄN</t>
        </is>
      </c>
      <c r="G41" t="inlineStr">
        <is>
          <t>LAXÅ</t>
        </is>
      </c>
      <c r="I41" t="n">
        <v>2.1</v>
      </c>
      <c r="J41" t="n">
        <v>0</v>
      </c>
      <c r="K41" t="n">
        <v>0</v>
      </c>
      <c r="L41" t="n">
        <v>1</v>
      </c>
      <c r="M41" t="n">
        <v>0</v>
      </c>
      <c r="N41" t="n">
        <v>0</v>
      </c>
      <c r="O41" t="n">
        <v>0</v>
      </c>
      <c r="P41" t="n">
        <v>0</v>
      </c>
      <c r="Q41" t="n">
        <v>1</v>
      </c>
      <c r="R41" t="n">
        <v>0</v>
      </c>
      <c r="S41" t="n">
        <v>1</v>
      </c>
      <c r="T41" t="n">
        <v>1</v>
      </c>
      <c r="U41" s="2" t="inlineStr">
        <is>
          <t>Kavelhirs</t>
        </is>
      </c>
      <c r="V41">
        <f>HYPERLINK("https://klasma.github.io/Logging_1860/artfynd/A 57423-2025 artfynd.xlsx", "A 57423-2025")</f>
        <v/>
      </c>
      <c r="W41">
        <f>HYPERLINK("https://klasma.github.io/Logging_1860/kartor/A 57423-2025 karta.png", "A 57423-2025")</f>
        <v/>
      </c>
      <c r="Y41">
        <f>HYPERLINK("https://klasma.github.io/Logging_1860/klagomål/A 57423-2025 FSC-klagomål.docx", "A 57423-2025")</f>
        <v/>
      </c>
      <c r="Z41">
        <f>HYPERLINK("https://klasma.github.io/Logging_1860/klagomålsmail/A 57423-2025 FSC-klagomål mail.docx", "A 57423-2025")</f>
        <v/>
      </c>
      <c r="AA41">
        <f>HYPERLINK("https://klasma.github.io/Logging_1860/tillsyn/A 57423-2025 tillsynsbegäran.docx", "A 57423-2025")</f>
        <v/>
      </c>
      <c r="AB41">
        <f>HYPERLINK("https://klasma.github.io/Logging_1860/tillsynsmail/A 57423-2025 tillsynsbegäran mail.docx", "A 57423-2025")</f>
        <v/>
      </c>
    </row>
    <row r="42" ht="15" customHeight="1">
      <c r="A42" t="inlineStr">
        <is>
          <t>A 42326-2023</t>
        </is>
      </c>
      <c r="B42" t="inlineStr">
        <is>
          <t>avverkningsanmälan</t>
        </is>
      </c>
      <c r="C42" t="inlineStr">
        <is>
          <t>Avverkning för att bevara och utveckla /försöksver</t>
        </is>
      </c>
      <c r="D42" s="1" t="n">
        <v>45180</v>
      </c>
      <c r="E42" s="1" t="n">
        <v>46222</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s="2" t="inlineStr">
        <is>
          <t>Blåsippa</t>
        </is>
      </c>
      <c r="V42">
        <f>HYPERLINK("https://klasma.github.io/Logging_1860/artfynd/A 42326-2023 artfynd.xlsx", "A 42326-2023")</f>
        <v/>
      </c>
      <c r="W42">
        <f>HYPERLINK("https://klasma.github.io/Logging_1860/kartor/A 42326-2023 karta.png", "A 42326-2023")</f>
        <v/>
      </c>
      <c r="Y42">
        <f>HYPERLINK("https://klasma.github.io/Logging_1860/klagomål/A 42326-2023 FSC-klagomål.docx", "A 42326-2023")</f>
        <v/>
      </c>
      <c r="Z42">
        <f>HYPERLINK("https://klasma.github.io/Logging_1860/klagomålsmail/A 42326-2023 FSC-klagomål mail.docx", "A 42326-2023")</f>
        <v/>
      </c>
      <c r="AA42">
        <f>HYPERLINK("https://klasma.github.io/Logging_1860/tillsyn/A 42326-2023 tillsynsbegäran.docx", "A 42326-2023")</f>
        <v/>
      </c>
      <c r="AB42">
        <f>HYPERLINK("https://klasma.github.io/Logging_1860/tillsynsmail/A 42326-2023 tillsynsbegäran mail.docx", "A 42326-2023")</f>
        <v/>
      </c>
    </row>
    <row r="43" ht="15" customHeight="1">
      <c r="A43" t="inlineStr">
        <is>
          <t>A 54713-2023</t>
        </is>
      </c>
      <c r="B43" t="inlineStr">
        <is>
          <t>avverkningsanmälan</t>
        </is>
      </c>
      <c r="C43" t="inlineStr">
        <is>
          <t>Föryngringsavverkning</t>
        </is>
      </c>
      <c r="D43" s="1" t="n">
        <v>45236</v>
      </c>
      <c r="E43" s="1" t="n">
        <v>46222</v>
      </c>
      <c r="F43" t="inlineStr">
        <is>
          <t>ÖREBRO LÄN</t>
        </is>
      </c>
      <c r="G43" t="inlineStr">
        <is>
          <t>LAXÅ</t>
        </is>
      </c>
      <c r="H43" t="inlineStr">
        <is>
          <t>Sveaskog</t>
        </is>
      </c>
      <c r="I43" t="n">
        <v>2</v>
      </c>
      <c r="J43" t="n">
        <v>1</v>
      </c>
      <c r="K43" t="n">
        <v>0</v>
      </c>
      <c r="L43" t="n">
        <v>1</v>
      </c>
      <c r="M43" t="n">
        <v>0</v>
      </c>
      <c r="N43" t="n">
        <v>0</v>
      </c>
      <c r="O43" t="n">
        <v>0</v>
      </c>
      <c r="P43" t="n">
        <v>0</v>
      </c>
      <c r="Q43" t="n">
        <v>1</v>
      </c>
      <c r="R43" t="n">
        <v>0</v>
      </c>
      <c r="S43" t="n">
        <v>1</v>
      </c>
      <c r="T43" t="n">
        <v>1</v>
      </c>
      <c r="U43" s="2" t="inlineStr">
        <is>
          <t>Tretåig hackspett</t>
        </is>
      </c>
      <c r="V43">
        <f>HYPERLINK("https://klasma.github.io/Logging_1860/artfynd/A 54713-2023 artfynd.xlsx", "A 54713-2023")</f>
        <v/>
      </c>
      <c r="W43">
        <f>HYPERLINK("https://klasma.github.io/Logging_1860/kartor/A 54713-2023 karta.png", "A 54713-2023")</f>
        <v/>
      </c>
      <c r="Y43">
        <f>HYPERLINK("https://klasma.github.io/Logging_1860/klagomål/A 54713-2023 FSC-klagomål.docx", "A 54713-2023")</f>
        <v/>
      </c>
      <c r="Z43">
        <f>HYPERLINK("https://klasma.github.io/Logging_1860/klagomålsmail/A 54713-2023 FSC-klagomål mail.docx", "A 54713-2023")</f>
        <v/>
      </c>
      <c r="AA43">
        <f>HYPERLINK("https://klasma.github.io/Logging_1860/tillsyn/A 54713-2023 tillsynsbegäran.docx", "A 54713-2023")</f>
        <v/>
      </c>
      <c r="AB43">
        <f>HYPERLINK("https://klasma.github.io/Logging_1860/tillsynsmail/A 54713-2023 tillsynsbegäran mail.docx", "A 54713-2023")</f>
        <v/>
      </c>
      <c r="AC43">
        <f>HYPERLINK("https://klasma.github.io/Logging_1860/fåglar/A 54713-2023 prioriterade fågelarter.docx", "A 54713-2023")</f>
        <v/>
      </c>
    </row>
    <row r="44" ht="15" customHeight="1">
      <c r="A44" t="inlineStr">
        <is>
          <t>A 56022-2025</t>
        </is>
      </c>
      <c r="B44" t="inlineStr">
        <is>
          <t>avverkningsanmälan</t>
        </is>
      </c>
      <c r="C44" t="inlineStr">
        <is>
          <t>Föryngringsavverkning</t>
        </is>
      </c>
      <c r="D44" s="1" t="n">
        <v>45973</v>
      </c>
      <c r="E44" s="1" t="n">
        <v>46222</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s="2" t="inlineStr">
        <is>
          <t>Spillkråka</t>
        </is>
      </c>
      <c r="V44">
        <f>HYPERLINK("https://klasma.github.io/Logging_1860/artfynd/A 56022-2025 artfynd.xlsx", "A 56022-2025")</f>
        <v/>
      </c>
      <c r="W44">
        <f>HYPERLINK("https://klasma.github.io/Logging_1860/kartor/A 56022-2025 karta.png", "A 56022-2025")</f>
        <v/>
      </c>
      <c r="Y44">
        <f>HYPERLINK("https://klasma.github.io/Logging_1860/klagomål/A 56022-2025 FSC-klagomål.docx", "A 56022-2025")</f>
        <v/>
      </c>
      <c r="Z44">
        <f>HYPERLINK("https://klasma.github.io/Logging_1860/klagomålsmail/A 56022-2025 FSC-klagomål mail.docx", "A 56022-2025")</f>
        <v/>
      </c>
      <c r="AA44">
        <f>HYPERLINK("https://klasma.github.io/Logging_1860/tillsyn/A 56022-2025 tillsynsbegäran.docx", "A 56022-2025")</f>
        <v/>
      </c>
      <c r="AB44">
        <f>HYPERLINK("https://klasma.github.io/Logging_1860/tillsynsmail/A 56022-2025 tillsynsbegäran mail.docx", "A 56022-2025")</f>
        <v/>
      </c>
      <c r="AC44">
        <f>HYPERLINK("https://klasma.github.io/Logging_1860/fåglar/A 56022-2025 prioriterade fågelarter.docx", "A 56022-2025")</f>
        <v/>
      </c>
    </row>
    <row r="45" ht="15" customHeight="1">
      <c r="A45" t="inlineStr">
        <is>
          <t>A 40430-2024</t>
        </is>
      </c>
      <c r="B45" t="inlineStr">
        <is>
          <t>avverkningsanmälan</t>
        </is>
      </c>
      <c r="C45" t="inlineStr">
        <is>
          <t>Föryngringsavverkning</t>
        </is>
      </c>
      <c r="D45" s="1" t="n">
        <v>45555</v>
      </c>
      <c r="E45" s="1" t="n">
        <v>46222</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s="2" t="inlineStr">
        <is>
          <t>Hårklomossa</t>
        </is>
      </c>
      <c r="V45">
        <f>HYPERLINK("https://klasma.github.io/Logging_1860/artfynd/A 40430-2024 artfynd.xlsx", "A 40430-2024")</f>
        <v/>
      </c>
      <c r="W45">
        <f>HYPERLINK("https://klasma.github.io/Logging_1860/kartor/A 40430-2024 karta.png", "A 40430-2024")</f>
        <v/>
      </c>
      <c r="Y45">
        <f>HYPERLINK("https://klasma.github.io/Logging_1860/klagomål/A 40430-2024 FSC-klagomål.docx", "A 40430-2024")</f>
        <v/>
      </c>
      <c r="Z45">
        <f>HYPERLINK("https://klasma.github.io/Logging_1860/klagomålsmail/A 40430-2024 FSC-klagomål mail.docx", "A 40430-2024")</f>
        <v/>
      </c>
      <c r="AA45">
        <f>HYPERLINK("https://klasma.github.io/Logging_1860/tillsyn/A 40430-2024 tillsynsbegäran.docx", "A 40430-2024")</f>
        <v/>
      </c>
      <c r="AB45">
        <f>HYPERLINK("https://klasma.github.io/Logging_1860/tillsynsmail/A 40430-2024 tillsynsbegäran mail.docx", "A 40430-2024")</f>
        <v/>
      </c>
    </row>
    <row r="46" ht="15" customHeight="1">
      <c r="A46" t="inlineStr">
        <is>
          <t>A 42324-2023</t>
        </is>
      </c>
      <c r="B46" t="inlineStr">
        <is>
          <t>avverkningsanmälan</t>
        </is>
      </c>
      <c r="C46" t="inlineStr">
        <is>
          <t>Avverkning för att bevara och utveckla /försöksver</t>
        </is>
      </c>
      <c r="D46" s="1" t="n">
        <v>45180</v>
      </c>
      <c r="E46" s="1" t="n">
        <v>46222</v>
      </c>
      <c r="F46" t="inlineStr">
        <is>
          <t>ÖREBRO LÄN</t>
        </is>
      </c>
      <c r="G46" t="inlineStr">
        <is>
          <t>LAXÅ</t>
        </is>
      </c>
      <c r="H46" t="inlineStr">
        <is>
          <t>Sveaskog</t>
        </is>
      </c>
      <c r="I46" t="n">
        <v>2.2</v>
      </c>
      <c r="J46" t="n">
        <v>1</v>
      </c>
      <c r="K46" t="n">
        <v>0</v>
      </c>
      <c r="L46" t="n">
        <v>0</v>
      </c>
      <c r="M46" t="n">
        <v>0</v>
      </c>
      <c r="N46" t="n">
        <v>0</v>
      </c>
      <c r="O46" t="n">
        <v>0</v>
      </c>
      <c r="P46" t="n">
        <v>0</v>
      </c>
      <c r="Q46" t="n">
        <v>0</v>
      </c>
      <c r="R46" t="n">
        <v>0</v>
      </c>
      <c r="S46" t="n">
        <v>1</v>
      </c>
      <c r="T46" t="n">
        <v>1</v>
      </c>
      <c r="U46" s="2" t="inlineStr">
        <is>
          <t>Blåsippa</t>
        </is>
      </c>
      <c r="V46">
        <f>HYPERLINK("https://klasma.github.io/Logging_1860/artfynd/A 42324-2023 artfynd.xlsx", "A 42324-2023")</f>
        <v/>
      </c>
      <c r="W46">
        <f>HYPERLINK("https://klasma.github.io/Logging_1860/kartor/A 42324-2023 karta.png", "A 42324-2023")</f>
        <v/>
      </c>
      <c r="Y46">
        <f>HYPERLINK("https://klasma.github.io/Logging_1860/klagomål/A 42324-2023 FSC-klagomål.docx", "A 42324-2023")</f>
        <v/>
      </c>
      <c r="Z46">
        <f>HYPERLINK("https://klasma.github.io/Logging_1860/klagomålsmail/A 42324-2023 FSC-klagomål mail.docx", "A 42324-2023")</f>
        <v/>
      </c>
      <c r="AA46">
        <f>HYPERLINK("https://klasma.github.io/Logging_1860/tillsyn/A 42324-2023 tillsynsbegäran.docx", "A 42324-2023")</f>
        <v/>
      </c>
      <c r="AB46">
        <f>HYPERLINK("https://klasma.github.io/Logging_1860/tillsynsmail/A 42324-2023 tillsynsbegäran mail.docx", "A 42324-2023")</f>
        <v/>
      </c>
    </row>
    <row r="47" ht="15" customHeight="1">
      <c r="A47" t="inlineStr">
        <is>
          <t>A 35540-2023</t>
        </is>
      </c>
      <c r="B47" t="inlineStr">
        <is>
          <t>avverkningsanmälan</t>
        </is>
      </c>
      <c r="C47" t="inlineStr">
        <is>
          <t>Föryngringsavverkning</t>
        </is>
      </c>
      <c r="D47" s="1" t="n">
        <v>45147</v>
      </c>
      <c r="E47" s="1" t="n">
        <v>46222</v>
      </c>
      <c r="F47" t="inlineStr">
        <is>
          <t>ÖREBRO LÄN</t>
        </is>
      </c>
      <c r="G47" t="inlineStr">
        <is>
          <t>LAXÅ</t>
        </is>
      </c>
      <c r="I47" t="n">
        <v>6.4</v>
      </c>
      <c r="J47" t="n">
        <v>0</v>
      </c>
      <c r="K47" t="n">
        <v>1</v>
      </c>
      <c r="L47" t="n">
        <v>0</v>
      </c>
      <c r="M47" t="n">
        <v>0</v>
      </c>
      <c r="N47" t="n">
        <v>0</v>
      </c>
      <c r="O47" t="n">
        <v>0</v>
      </c>
      <c r="P47" t="n">
        <v>0</v>
      </c>
      <c r="Q47" t="n">
        <v>0</v>
      </c>
      <c r="R47" t="n">
        <v>0</v>
      </c>
      <c r="S47" t="n">
        <v>1</v>
      </c>
      <c r="T47" t="n">
        <v>2</v>
      </c>
      <c r="U47" s="2" t="inlineStr">
        <is>
          <t>Vedticka</t>
        </is>
      </c>
      <c r="V47">
        <f>HYPERLINK("https://klasma.github.io/Logging_1860/artfynd/A 35540-2023 artfynd.xlsx", "A 35540-2023")</f>
        <v/>
      </c>
      <c r="W47">
        <f>HYPERLINK("https://klasma.github.io/Logging_1860/kartor/A 35540-2023 karta.png", "A 35540-2023")</f>
        <v/>
      </c>
      <c r="Y47">
        <f>HYPERLINK("https://klasma.github.io/Logging_1860/klagomål/A 35540-2023 FSC-klagomål.docx", "A 35540-2023")</f>
        <v/>
      </c>
      <c r="Z47">
        <f>HYPERLINK("https://klasma.github.io/Logging_1860/klagomålsmail/A 35540-2023 FSC-klagomål mail.docx", "A 35540-2023")</f>
        <v/>
      </c>
      <c r="AA47">
        <f>HYPERLINK("https://klasma.github.io/Logging_1860/tillsyn/A 35540-2023 tillsynsbegäran.docx", "A 35540-2023")</f>
        <v/>
      </c>
      <c r="AB47">
        <f>HYPERLINK("https://klasma.github.io/Logging_1860/tillsynsmail/A 35540-2023 tillsynsbegäran mail.docx", "A 35540-2023")</f>
        <v/>
      </c>
    </row>
    <row r="48" ht="15" customHeight="1">
      <c r="A48" t="inlineStr">
        <is>
          <t>A 43675-2024</t>
        </is>
      </c>
      <c r="B48" t="inlineStr">
        <is>
          <t>avverkningsanmälan</t>
        </is>
      </c>
      <c r="C48" t="inlineStr">
        <is>
          <t>Föryngringsavverkning</t>
        </is>
      </c>
      <c r="D48" s="1" t="n">
        <v>45569</v>
      </c>
      <c r="E48" s="1" t="n">
        <v>46222</v>
      </c>
      <c r="F48" t="inlineStr">
        <is>
          <t>ÖREBRO LÄN</t>
        </is>
      </c>
      <c r="G48" t="inlineStr">
        <is>
          <t>LAXÅ</t>
        </is>
      </c>
      <c r="H48" t="inlineStr">
        <is>
          <t>Sveaskog</t>
        </is>
      </c>
      <c r="I48" t="n">
        <v>1.6</v>
      </c>
      <c r="J48" t="n">
        <v>1</v>
      </c>
      <c r="K48" t="n">
        <v>0</v>
      </c>
      <c r="L48" t="n">
        <v>0</v>
      </c>
      <c r="M48" t="n">
        <v>0</v>
      </c>
      <c r="N48" t="n">
        <v>0</v>
      </c>
      <c r="O48" t="n">
        <v>0</v>
      </c>
      <c r="P48" t="n">
        <v>0</v>
      </c>
      <c r="Q48" t="n">
        <v>0</v>
      </c>
      <c r="R48" t="n">
        <v>0</v>
      </c>
      <c r="S48" t="n">
        <v>1</v>
      </c>
      <c r="T48" t="n">
        <v>1</v>
      </c>
      <c r="U48" s="2" t="inlineStr">
        <is>
          <t>Tjäder</t>
        </is>
      </c>
      <c r="V48">
        <f>HYPERLINK("https://klasma.github.io/Logging_1860/artfynd/A 43675-2024 artfynd.xlsx", "A 43675-2024")</f>
        <v/>
      </c>
      <c r="W48">
        <f>HYPERLINK("https://klasma.github.io/Logging_1860/kartor/A 43675-2024 karta.png", "A 43675-2024")</f>
        <v/>
      </c>
      <c r="Y48">
        <f>HYPERLINK("https://klasma.github.io/Logging_1860/klagomål/A 43675-2024 FSC-klagomål.docx", "A 43675-2024")</f>
        <v/>
      </c>
      <c r="Z48">
        <f>HYPERLINK("https://klasma.github.io/Logging_1860/klagomålsmail/A 43675-2024 FSC-klagomål mail.docx", "A 43675-2024")</f>
        <v/>
      </c>
      <c r="AA48">
        <f>HYPERLINK("https://klasma.github.io/Logging_1860/tillsyn/A 43675-2024 tillsynsbegäran.docx", "A 43675-2024")</f>
        <v/>
      </c>
      <c r="AB48">
        <f>HYPERLINK("https://klasma.github.io/Logging_1860/tillsynsmail/A 43675-2024 tillsynsbegäran mail.docx", "A 43675-2024")</f>
        <v/>
      </c>
      <c r="AC48">
        <f>HYPERLINK("https://klasma.github.io/Logging_1860/fåglar/A 43675-2024 prioriterade fågelarter.docx", "A 43675-2024")</f>
        <v/>
      </c>
    </row>
    <row r="49" ht="15" customHeight="1">
      <c r="A49" t="inlineStr">
        <is>
          <t>A 59657-2022</t>
        </is>
      </c>
      <c r="B49" t="inlineStr">
        <is>
          <t>avverkningsanmälan</t>
        </is>
      </c>
      <c r="C49" t="inlineStr">
        <is>
          <t>Föryngringsavverkning</t>
        </is>
      </c>
      <c r="D49" s="1" t="n">
        <v>44908</v>
      </c>
      <c r="E49" s="1" t="n">
        <v>46222</v>
      </c>
      <c r="F49" t="inlineStr">
        <is>
          <t>ÖREBRO LÄN</t>
        </is>
      </c>
      <c r="G49" t="inlineStr">
        <is>
          <t>LAXÅ</t>
        </is>
      </c>
      <c r="I49" t="n">
        <v>3.3</v>
      </c>
      <c r="J49" t="n">
        <v>0</v>
      </c>
      <c r="K49" t="n">
        <v>0</v>
      </c>
      <c r="L49" t="n">
        <v>1</v>
      </c>
      <c r="M49" t="n">
        <v>0</v>
      </c>
      <c r="N49" t="n">
        <v>0</v>
      </c>
      <c r="O49" t="n">
        <v>0</v>
      </c>
      <c r="P49" t="n">
        <v>0</v>
      </c>
      <c r="Q49" t="n">
        <v>1</v>
      </c>
      <c r="R49" t="n">
        <v>0</v>
      </c>
      <c r="S49" t="n">
        <v>1</v>
      </c>
      <c r="T49" t="n">
        <v>1</v>
      </c>
      <c r="U49" s="2" t="inlineStr">
        <is>
          <t>Svinrot</t>
        </is>
      </c>
      <c r="V49">
        <f>HYPERLINK("https://klasma.github.io/Logging_1860/artfynd/A 59657-2022 artfynd.xlsx", "A 59657-2022")</f>
        <v/>
      </c>
      <c r="W49">
        <f>HYPERLINK("https://klasma.github.io/Logging_1860/kartor/A 59657-2022 karta.png", "A 59657-2022")</f>
        <v/>
      </c>
      <c r="Y49">
        <f>HYPERLINK("https://klasma.github.io/Logging_1860/klagomål/A 59657-2022 FSC-klagomål.docx", "A 59657-2022")</f>
        <v/>
      </c>
      <c r="Z49">
        <f>HYPERLINK("https://klasma.github.io/Logging_1860/klagomålsmail/A 59657-2022 FSC-klagomål mail.docx", "A 59657-2022")</f>
        <v/>
      </c>
      <c r="AA49">
        <f>HYPERLINK("https://klasma.github.io/Logging_1860/tillsyn/A 59657-2022 tillsynsbegäran.docx", "A 59657-2022")</f>
        <v/>
      </c>
      <c r="AB49">
        <f>HYPERLINK("https://klasma.github.io/Logging_1860/tillsynsmail/A 59657-2022 tillsynsbegäran mail.docx", "A 59657-2022")</f>
        <v/>
      </c>
    </row>
    <row r="50" ht="15" customHeight="1">
      <c r="A50" t="inlineStr">
        <is>
          <t>A 60949-2023</t>
        </is>
      </c>
      <c r="B50" t="inlineStr">
        <is>
          <t>avverkningsanmälan</t>
        </is>
      </c>
      <c r="C50" t="inlineStr">
        <is>
          <t>Föryngringsavverkning</t>
        </is>
      </c>
      <c r="D50" s="1" t="n">
        <v>45259</v>
      </c>
      <c r="E50" s="1" t="n">
        <v>46222</v>
      </c>
      <c r="F50" t="inlineStr">
        <is>
          <t>ÖREBRO LÄN</t>
        </is>
      </c>
      <c r="G50" t="inlineStr">
        <is>
          <t>LAXÅ</t>
        </is>
      </c>
      <c r="I50" t="n">
        <v>4.7</v>
      </c>
      <c r="J50" t="n">
        <v>1</v>
      </c>
      <c r="K50" t="n">
        <v>0</v>
      </c>
      <c r="L50" t="n">
        <v>0</v>
      </c>
      <c r="M50" t="n">
        <v>0</v>
      </c>
      <c r="N50" t="n">
        <v>0</v>
      </c>
      <c r="O50" t="n">
        <v>0</v>
      </c>
      <c r="P50" t="n">
        <v>0</v>
      </c>
      <c r="Q50" t="n">
        <v>0</v>
      </c>
      <c r="R50" t="n">
        <v>0</v>
      </c>
      <c r="S50" t="n">
        <v>1</v>
      </c>
      <c r="T50" t="n">
        <v>1</v>
      </c>
      <c r="U50" s="2" t="inlineStr">
        <is>
          <t>Revlummer</t>
        </is>
      </c>
      <c r="V50">
        <f>HYPERLINK("https://klasma.github.io/Logging_1860/artfynd/A 60949-2023 artfynd.xlsx", "A 60949-2023")</f>
        <v/>
      </c>
      <c r="W50">
        <f>HYPERLINK("https://klasma.github.io/Logging_1860/kartor/A 60949-2023 karta.png", "A 60949-2023")</f>
        <v/>
      </c>
      <c r="Y50">
        <f>HYPERLINK("https://klasma.github.io/Logging_1860/klagomål/A 60949-2023 FSC-klagomål.docx", "A 60949-2023")</f>
        <v/>
      </c>
      <c r="Z50">
        <f>HYPERLINK("https://klasma.github.io/Logging_1860/klagomålsmail/A 60949-2023 FSC-klagomål mail.docx", "A 60949-2023")</f>
        <v/>
      </c>
      <c r="AA50">
        <f>HYPERLINK("https://klasma.github.io/Logging_1860/tillsyn/A 60949-2023 tillsynsbegäran.docx", "A 60949-2023")</f>
        <v/>
      </c>
      <c r="AB50">
        <f>HYPERLINK("https://klasma.github.io/Logging_1860/tillsynsmail/A 60949-2023 tillsynsbegäran mail.docx", "A 60949-2023")</f>
        <v/>
      </c>
    </row>
    <row r="51" ht="15" customHeight="1">
      <c r="A51" t="inlineStr">
        <is>
          <t>A 40980-2021</t>
        </is>
      </c>
      <c r="B51" t="inlineStr">
        <is>
          <t>avverkningsanmälan</t>
        </is>
      </c>
      <c r="C51" t="inlineStr">
        <is>
          <t>Föryngringsavverkning</t>
        </is>
      </c>
      <c r="D51" s="1" t="n">
        <v>44421</v>
      </c>
      <c r="E51" s="1" t="n">
        <v>46222</v>
      </c>
      <c r="F51" t="inlineStr">
        <is>
          <t>ÖREBRO LÄN</t>
        </is>
      </c>
      <c r="G51" t="inlineStr">
        <is>
          <t>LAXÅ</t>
        </is>
      </c>
      <c r="I51" t="n">
        <v>1.7</v>
      </c>
      <c r="J51" t="n">
        <v>0</v>
      </c>
      <c r="K51" t="n">
        <v>0</v>
      </c>
      <c r="L51" t="n">
        <v>0</v>
      </c>
      <c r="M51" t="n">
        <v>0</v>
      </c>
      <c r="N51" t="n">
        <v>0</v>
      </c>
      <c r="O51" t="n">
        <v>0</v>
      </c>
      <c r="P51" t="n">
        <v>0</v>
      </c>
      <c r="Q51" t="n">
        <v>0</v>
      </c>
      <c r="R51" t="n">
        <v>0</v>
      </c>
      <c r="S51" t="n">
        <v>0</v>
      </c>
      <c r="T51" t="n">
        <v>0</v>
      </c>
      <c r="U51" s="2" t="inlineStr"/>
    </row>
    <row r="52" ht="15" customHeight="1">
      <c r="A52" t="inlineStr">
        <is>
          <t>A 5441-2022</t>
        </is>
      </c>
      <c r="B52" t="inlineStr">
        <is>
          <t>avverkningsanmälan</t>
        </is>
      </c>
      <c r="C52" t="inlineStr">
        <is>
          <t>Föryngringsavverkning</t>
        </is>
      </c>
      <c r="D52" s="1" t="n">
        <v>44595</v>
      </c>
      <c r="E52" s="1" t="n">
        <v>46222</v>
      </c>
      <c r="F52" t="inlineStr">
        <is>
          <t>ÖREBRO LÄN</t>
        </is>
      </c>
      <c r="G52" t="inlineStr">
        <is>
          <t>LAXÅ</t>
        </is>
      </c>
      <c r="I52" t="n">
        <v>6.5</v>
      </c>
      <c r="J52" t="n">
        <v>0</v>
      </c>
      <c r="K52" t="n">
        <v>0</v>
      </c>
      <c r="L52" t="n">
        <v>0</v>
      </c>
      <c r="M52" t="n">
        <v>0</v>
      </c>
      <c r="N52" t="n">
        <v>0</v>
      </c>
      <c r="O52" t="n">
        <v>0</v>
      </c>
      <c r="P52" t="n">
        <v>0</v>
      </c>
      <c r="Q52" t="n">
        <v>0</v>
      </c>
      <c r="R52" t="n">
        <v>0</v>
      </c>
      <c r="S52" t="n">
        <v>0</v>
      </c>
      <c r="T52" t="n">
        <v>0</v>
      </c>
      <c r="U52" s="2" t="inlineStr"/>
    </row>
    <row r="53" ht="15" customHeight="1">
      <c r="A53" t="inlineStr">
        <is>
          <t>A 42185-2021</t>
        </is>
      </c>
      <c r="B53" t="inlineStr">
        <is>
          <t>avverkningsanmälan</t>
        </is>
      </c>
      <c r="C53" t="inlineStr">
        <is>
          <t>Föryngringsavverkning</t>
        </is>
      </c>
      <c r="D53" s="1" t="n">
        <v>44426</v>
      </c>
      <c r="E53" s="1" t="n">
        <v>46222</v>
      </c>
      <c r="F53" t="inlineStr">
        <is>
          <t>ÖREBRO LÄN</t>
        </is>
      </c>
      <c r="G53" t="inlineStr">
        <is>
          <t>LAXÅ</t>
        </is>
      </c>
      <c r="H53" t="inlineStr">
        <is>
          <t>Sveaskog</t>
        </is>
      </c>
      <c r="I53" t="n">
        <v>1.5</v>
      </c>
      <c r="J53" t="n">
        <v>0</v>
      </c>
      <c r="K53" t="n">
        <v>0</v>
      </c>
      <c r="L53" t="n">
        <v>0</v>
      </c>
      <c r="M53" t="n">
        <v>0</v>
      </c>
      <c r="N53" t="n">
        <v>0</v>
      </c>
      <c r="O53" t="n">
        <v>0</v>
      </c>
      <c r="P53" t="n">
        <v>0</v>
      </c>
      <c r="Q53" t="n">
        <v>0</v>
      </c>
      <c r="R53" t="n">
        <v>0</v>
      </c>
      <c r="S53" t="n">
        <v>0</v>
      </c>
      <c r="T53" t="n">
        <v>0</v>
      </c>
      <c r="U53" s="2" t="inlineStr"/>
    </row>
    <row r="54" ht="15" customHeight="1">
      <c r="A54" t="inlineStr">
        <is>
          <t>A 42189-2021</t>
        </is>
      </c>
      <c r="B54" t="inlineStr">
        <is>
          <t>avverkningsanmälan</t>
        </is>
      </c>
      <c r="C54" t="inlineStr">
        <is>
          <t>Föryngringsavverkning</t>
        </is>
      </c>
      <c r="D54" s="1" t="n">
        <v>44426</v>
      </c>
      <c r="E54" s="1" t="n">
        <v>46222</v>
      </c>
      <c r="F54" t="inlineStr">
        <is>
          <t>ÖREBRO LÄN</t>
        </is>
      </c>
      <c r="G54" t="inlineStr">
        <is>
          <t>LAXÅ</t>
        </is>
      </c>
      <c r="H54" t="inlineStr">
        <is>
          <t>Sveaskog</t>
        </is>
      </c>
      <c r="I54" t="n">
        <v>1</v>
      </c>
      <c r="J54" t="n">
        <v>0</v>
      </c>
      <c r="K54" t="n">
        <v>0</v>
      </c>
      <c r="L54" t="n">
        <v>0</v>
      </c>
      <c r="M54" t="n">
        <v>0</v>
      </c>
      <c r="N54" t="n">
        <v>0</v>
      </c>
      <c r="O54" t="n">
        <v>0</v>
      </c>
      <c r="P54" t="n">
        <v>0</v>
      </c>
      <c r="Q54" t="n">
        <v>0</v>
      </c>
      <c r="R54" t="n">
        <v>0</v>
      </c>
      <c r="S54" t="n">
        <v>0</v>
      </c>
      <c r="T54" t="n">
        <v>0</v>
      </c>
      <c r="U54" s="2" t="inlineStr"/>
    </row>
    <row r="55" ht="15" customHeight="1">
      <c r="A55" t="inlineStr">
        <is>
          <t>A 36346-2022</t>
        </is>
      </c>
      <c r="B55" t="inlineStr">
        <is>
          <t>avverkningsanmälan</t>
        </is>
      </c>
      <c r="C55" t="inlineStr">
        <is>
          <t>Föryngringsavverkning</t>
        </is>
      </c>
      <c r="D55" s="1" t="n">
        <v>44803</v>
      </c>
      <c r="E55" s="1" t="n">
        <v>46222</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s="2" t="inlineStr"/>
    </row>
    <row r="56" ht="15" customHeight="1">
      <c r="A56" t="inlineStr">
        <is>
          <t>A 36349-2022</t>
        </is>
      </c>
      <c r="B56" t="inlineStr">
        <is>
          <t>avverkningsanmälan</t>
        </is>
      </c>
      <c r="C56" t="inlineStr">
        <is>
          <t>Föryngringsavverkning</t>
        </is>
      </c>
      <c r="D56" s="1" t="n">
        <v>44803</v>
      </c>
      <c r="E56" s="1" t="n">
        <v>46222</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s="2" t="inlineStr"/>
    </row>
    <row r="57" ht="15" customHeight="1">
      <c r="A57" t="inlineStr">
        <is>
          <t>A 36351-2022</t>
        </is>
      </c>
      <c r="B57" t="inlineStr">
        <is>
          <t>avverkningsanmälan</t>
        </is>
      </c>
      <c r="C57" t="inlineStr">
        <is>
          <t>Föryngringsavverkning</t>
        </is>
      </c>
      <c r="D57" s="1" t="n">
        <v>44803</v>
      </c>
      <c r="E57" s="1" t="n">
        <v>46222</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s="2" t="inlineStr"/>
    </row>
    <row r="58" ht="15" customHeight="1">
      <c r="A58" t="inlineStr">
        <is>
          <t>A 9665-2022</t>
        </is>
      </c>
      <c r="B58" t="inlineStr">
        <is>
          <t>avverkningsanmälan</t>
        </is>
      </c>
      <c r="C58" t="inlineStr">
        <is>
          <t>Föryngringsavverkning</t>
        </is>
      </c>
      <c r="D58" s="1" t="n">
        <v>44617</v>
      </c>
      <c r="E58" s="1" t="n">
        <v>46222</v>
      </c>
      <c r="F58" t="inlineStr">
        <is>
          <t>ÖREBRO LÄN</t>
        </is>
      </c>
      <c r="G58" t="inlineStr">
        <is>
          <t>LAXÅ</t>
        </is>
      </c>
      <c r="I58" t="n">
        <v>0.8</v>
      </c>
      <c r="J58" t="n">
        <v>0</v>
      </c>
      <c r="K58" t="n">
        <v>0</v>
      </c>
      <c r="L58" t="n">
        <v>0</v>
      </c>
      <c r="M58" t="n">
        <v>0</v>
      </c>
      <c r="N58" t="n">
        <v>0</v>
      </c>
      <c r="O58" t="n">
        <v>0</v>
      </c>
      <c r="P58" t="n">
        <v>0</v>
      </c>
      <c r="Q58" t="n">
        <v>0</v>
      </c>
      <c r="R58" t="n">
        <v>0</v>
      </c>
      <c r="S58" t="n">
        <v>0</v>
      </c>
      <c r="T58" t="n">
        <v>0</v>
      </c>
      <c r="U58" s="2" t="inlineStr"/>
    </row>
    <row r="59" ht="15" customHeight="1">
      <c r="A59" t="inlineStr">
        <is>
          <t>A 59907-2021</t>
        </is>
      </c>
      <c r="B59" t="inlineStr">
        <is>
          <t>avverkningsanmälan</t>
        </is>
      </c>
      <c r="C59" t="inlineStr">
        <is>
          <t>Föryngringsavverkning</t>
        </is>
      </c>
      <c r="D59" s="1" t="n">
        <v>44494</v>
      </c>
      <c r="E59" s="1" t="n">
        <v>46222</v>
      </c>
      <c r="F59" t="inlineStr">
        <is>
          <t>ÖREBRO LÄN</t>
        </is>
      </c>
      <c r="G59" t="inlineStr">
        <is>
          <t>LAXÅ</t>
        </is>
      </c>
      <c r="I59" t="n">
        <v>1</v>
      </c>
      <c r="J59" t="n">
        <v>0</v>
      </c>
      <c r="K59" t="n">
        <v>0</v>
      </c>
      <c r="L59" t="n">
        <v>0</v>
      </c>
      <c r="M59" t="n">
        <v>0</v>
      </c>
      <c r="N59" t="n">
        <v>0</v>
      </c>
      <c r="O59" t="n">
        <v>0</v>
      </c>
      <c r="P59" t="n">
        <v>0</v>
      </c>
      <c r="Q59" t="n">
        <v>0</v>
      </c>
      <c r="R59" t="n">
        <v>0</v>
      </c>
      <c r="S59" t="n">
        <v>0</v>
      </c>
      <c r="T59" t="n">
        <v>0</v>
      </c>
      <c r="U59" s="2" t="inlineStr"/>
    </row>
    <row r="60" ht="15" customHeight="1">
      <c r="A60" t="inlineStr">
        <is>
          <t>A 28119-2022</t>
        </is>
      </c>
      <c r="B60" t="inlineStr">
        <is>
          <t>avverkningsanmälan</t>
        </is>
      </c>
      <c r="C60" t="inlineStr">
        <is>
          <t>Föryngringsavverkning</t>
        </is>
      </c>
      <c r="D60" s="1" t="n">
        <v>44746</v>
      </c>
      <c r="E60" s="1" t="n">
        <v>46222</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s="2" t="inlineStr"/>
    </row>
    <row r="61" ht="15" customHeight="1">
      <c r="A61" t="inlineStr">
        <is>
          <t>A 1104-2022</t>
        </is>
      </c>
      <c r="B61" t="inlineStr">
        <is>
          <t>avverkningsanmälan</t>
        </is>
      </c>
      <c r="C61" t="inlineStr">
        <is>
          <t>Föryngringsavverkning</t>
        </is>
      </c>
      <c r="D61" s="1" t="n">
        <v>44571</v>
      </c>
      <c r="E61" s="1" t="n">
        <v>46222</v>
      </c>
      <c r="F61" t="inlineStr">
        <is>
          <t>ÖREBRO LÄN</t>
        </is>
      </c>
      <c r="G61" t="inlineStr">
        <is>
          <t>LAXÅ</t>
        </is>
      </c>
      <c r="I61" t="n">
        <v>4.4</v>
      </c>
      <c r="J61" t="n">
        <v>0</v>
      </c>
      <c r="K61" t="n">
        <v>0</v>
      </c>
      <c r="L61" t="n">
        <v>0</v>
      </c>
      <c r="M61" t="n">
        <v>0</v>
      </c>
      <c r="N61" t="n">
        <v>0</v>
      </c>
      <c r="O61" t="n">
        <v>0</v>
      </c>
      <c r="P61" t="n">
        <v>0</v>
      </c>
      <c r="Q61" t="n">
        <v>0</v>
      </c>
      <c r="R61" t="n">
        <v>0</v>
      </c>
      <c r="S61" t="n">
        <v>0</v>
      </c>
      <c r="T61" t="n">
        <v>0</v>
      </c>
      <c r="U61" s="2" t="inlineStr"/>
    </row>
    <row r="62" ht="15" customHeight="1">
      <c r="A62" t="inlineStr">
        <is>
          <t>A 40960-2022</t>
        </is>
      </c>
      <c r="B62" t="inlineStr">
        <is>
          <t>avverkningsanmälan</t>
        </is>
      </c>
      <c r="C62" t="inlineStr">
        <is>
          <t>Föryngringsavverkning</t>
        </is>
      </c>
      <c r="D62" s="1" t="n">
        <v>44825</v>
      </c>
      <c r="E62" s="1" t="n">
        <v>46222</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s="2" t="inlineStr"/>
    </row>
    <row r="63" ht="15" customHeight="1">
      <c r="A63" t="inlineStr">
        <is>
          <t>A 57956-2021</t>
        </is>
      </c>
      <c r="B63" t="inlineStr">
        <is>
          <t>avverkningsanmälan</t>
        </is>
      </c>
      <c r="C63" t="inlineStr">
        <is>
          <t>Föryngringsavverkning</t>
        </is>
      </c>
      <c r="D63" s="1" t="n">
        <v>44484</v>
      </c>
      <c r="E63" s="1" t="n">
        <v>46222</v>
      </c>
      <c r="F63" t="inlineStr">
        <is>
          <t>ÖREBRO LÄN</t>
        </is>
      </c>
      <c r="G63" t="inlineStr">
        <is>
          <t>LAXÅ</t>
        </is>
      </c>
      <c r="I63" t="n">
        <v>1.5</v>
      </c>
      <c r="J63" t="n">
        <v>0</v>
      </c>
      <c r="K63" t="n">
        <v>0</v>
      </c>
      <c r="L63" t="n">
        <v>0</v>
      </c>
      <c r="M63" t="n">
        <v>0</v>
      </c>
      <c r="N63" t="n">
        <v>0</v>
      </c>
      <c r="O63" t="n">
        <v>0</v>
      </c>
      <c r="P63" t="n">
        <v>0</v>
      </c>
      <c r="Q63" t="n">
        <v>0</v>
      </c>
      <c r="R63" t="n">
        <v>0</v>
      </c>
      <c r="S63" t="n">
        <v>0</v>
      </c>
      <c r="T63" t="n">
        <v>0</v>
      </c>
      <c r="U63" s="2" t="inlineStr"/>
    </row>
    <row r="64" ht="15" customHeight="1">
      <c r="A64" t="inlineStr">
        <is>
          <t>A 38539-2022</t>
        </is>
      </c>
      <c r="B64" t="inlineStr">
        <is>
          <t>avverkningsanmälan</t>
        </is>
      </c>
      <c r="C64" t="inlineStr">
        <is>
          <t>Föryngringsavverkning</t>
        </is>
      </c>
      <c r="D64" s="1" t="n">
        <v>44813</v>
      </c>
      <c r="E64" s="1" t="n">
        <v>46222</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s="2" t="inlineStr"/>
    </row>
    <row r="65" ht="15" customHeight="1">
      <c r="A65" t="inlineStr">
        <is>
          <t>A 50543-2021</t>
        </is>
      </c>
      <c r="B65" t="inlineStr">
        <is>
          <t>avverkningsanmälan</t>
        </is>
      </c>
      <c r="C65" t="inlineStr">
        <is>
          <t>Föryngringsavverkning</t>
        </is>
      </c>
      <c r="D65" s="1" t="n">
        <v>44459</v>
      </c>
      <c r="E65" s="1" t="n">
        <v>46222</v>
      </c>
      <c r="F65" t="inlineStr">
        <is>
          <t>ÖREBRO LÄN</t>
        </is>
      </c>
      <c r="G65" t="inlineStr">
        <is>
          <t>LAXÅ</t>
        </is>
      </c>
      <c r="I65" t="n">
        <v>0.5</v>
      </c>
      <c r="J65" t="n">
        <v>0</v>
      </c>
      <c r="K65" t="n">
        <v>0</v>
      </c>
      <c r="L65" t="n">
        <v>0</v>
      </c>
      <c r="M65" t="n">
        <v>0</v>
      </c>
      <c r="N65" t="n">
        <v>0</v>
      </c>
      <c r="O65" t="n">
        <v>0</v>
      </c>
      <c r="P65" t="n">
        <v>0</v>
      </c>
      <c r="Q65" t="n">
        <v>0</v>
      </c>
      <c r="R65" t="n">
        <v>0</v>
      </c>
      <c r="S65" t="n">
        <v>0</v>
      </c>
      <c r="T65" t="n">
        <v>0</v>
      </c>
      <c r="U65" s="2" t="inlineStr"/>
    </row>
    <row r="66" ht="15" customHeight="1">
      <c r="A66" t="inlineStr">
        <is>
          <t>A 42395-2021</t>
        </is>
      </c>
      <c r="B66" t="inlineStr">
        <is>
          <t>avverkningsanmälan</t>
        </is>
      </c>
      <c r="C66" t="inlineStr">
        <is>
          <t>Föryngringsavverkning</t>
        </is>
      </c>
      <c r="D66" s="1" t="n">
        <v>44427</v>
      </c>
      <c r="E66" s="1" t="n">
        <v>46222</v>
      </c>
      <c r="F66" t="inlineStr">
        <is>
          <t>ÖREBRO LÄN</t>
        </is>
      </c>
      <c r="G66" t="inlineStr">
        <is>
          <t>LAXÅ</t>
        </is>
      </c>
      <c r="I66" t="n">
        <v>1.8</v>
      </c>
      <c r="J66" t="n">
        <v>0</v>
      </c>
      <c r="K66" t="n">
        <v>0</v>
      </c>
      <c r="L66" t="n">
        <v>0</v>
      </c>
      <c r="M66" t="n">
        <v>0</v>
      </c>
      <c r="N66" t="n">
        <v>0</v>
      </c>
      <c r="O66" t="n">
        <v>0</v>
      </c>
      <c r="P66" t="n">
        <v>0</v>
      </c>
      <c r="Q66" t="n">
        <v>0</v>
      </c>
      <c r="R66" t="n">
        <v>0</v>
      </c>
      <c r="S66" t="n">
        <v>0</v>
      </c>
      <c r="T66" t="n">
        <v>0</v>
      </c>
      <c r="U66" s="2" t="inlineStr"/>
    </row>
    <row r="67" ht="15" customHeight="1">
      <c r="A67" t="inlineStr">
        <is>
          <t>A 44099-2021</t>
        </is>
      </c>
      <c r="B67" t="inlineStr">
        <is>
          <t>avverkningsanmälan</t>
        </is>
      </c>
      <c r="C67" t="inlineStr">
        <is>
          <t>Föryngringsavverkning</t>
        </is>
      </c>
      <c r="D67" s="1" t="n">
        <v>44434</v>
      </c>
      <c r="E67" s="1" t="n">
        <v>46222</v>
      </c>
      <c r="F67" t="inlineStr">
        <is>
          <t>ÖREBRO LÄN</t>
        </is>
      </c>
      <c r="G67" t="inlineStr">
        <is>
          <t>LAXÅ</t>
        </is>
      </c>
      <c r="H67" t="inlineStr">
        <is>
          <t>Sveaskog</t>
        </is>
      </c>
      <c r="I67" t="n">
        <v>2.1</v>
      </c>
      <c r="J67" t="n">
        <v>0</v>
      </c>
      <c r="K67" t="n">
        <v>0</v>
      </c>
      <c r="L67" t="n">
        <v>0</v>
      </c>
      <c r="M67" t="n">
        <v>0</v>
      </c>
      <c r="N67" t="n">
        <v>0</v>
      </c>
      <c r="O67" t="n">
        <v>0</v>
      </c>
      <c r="P67" t="n">
        <v>0</v>
      </c>
      <c r="Q67" t="n">
        <v>0</v>
      </c>
      <c r="R67" t="n">
        <v>0</v>
      </c>
      <c r="S67" t="n">
        <v>0</v>
      </c>
      <c r="T67" t="n">
        <v>0</v>
      </c>
      <c r="U67" s="2" t="inlineStr"/>
    </row>
    <row r="68" ht="15" customHeight="1">
      <c r="A68" t="inlineStr">
        <is>
          <t>A 10041-2022</t>
        </is>
      </c>
      <c r="B68" t="inlineStr">
        <is>
          <t>avverkningsanmälan</t>
        </is>
      </c>
      <c r="C68" t="inlineStr">
        <is>
          <t>Föryngringsavverkning</t>
        </is>
      </c>
      <c r="D68" s="1" t="n">
        <v>44621</v>
      </c>
      <c r="E68" s="1" t="n">
        <v>46222</v>
      </c>
      <c r="F68" t="inlineStr">
        <is>
          <t>ÖREBRO LÄN</t>
        </is>
      </c>
      <c r="G68" t="inlineStr">
        <is>
          <t>LAXÅ</t>
        </is>
      </c>
      <c r="I68" t="n">
        <v>2</v>
      </c>
      <c r="J68" t="n">
        <v>0</v>
      </c>
      <c r="K68" t="n">
        <v>0</v>
      </c>
      <c r="L68" t="n">
        <v>0</v>
      </c>
      <c r="M68" t="n">
        <v>0</v>
      </c>
      <c r="N68" t="n">
        <v>0</v>
      </c>
      <c r="O68" t="n">
        <v>0</v>
      </c>
      <c r="P68" t="n">
        <v>0</v>
      </c>
      <c r="Q68" t="n">
        <v>0</v>
      </c>
      <c r="R68" t="n">
        <v>0</v>
      </c>
      <c r="S68" t="n">
        <v>0</v>
      </c>
      <c r="T68" t="n">
        <v>0</v>
      </c>
      <c r="U68" s="2" t="inlineStr"/>
    </row>
    <row r="69" ht="15" customHeight="1">
      <c r="A69" t="inlineStr">
        <is>
          <t>A 48216-2021</t>
        </is>
      </c>
      <c r="B69" t="inlineStr">
        <is>
          <t>avverkningsanmälan</t>
        </is>
      </c>
      <c r="C69" t="inlineStr">
        <is>
          <t>Föryngringsavverkning</t>
        </is>
      </c>
      <c r="D69" s="1" t="n">
        <v>44449</v>
      </c>
      <c r="E69" s="1" t="n">
        <v>46222</v>
      </c>
      <c r="F69" t="inlineStr">
        <is>
          <t>ÖREBRO LÄN</t>
        </is>
      </c>
      <c r="G69" t="inlineStr">
        <is>
          <t>LAXÅ</t>
        </is>
      </c>
      <c r="I69" t="n">
        <v>2.1</v>
      </c>
      <c r="J69" t="n">
        <v>0</v>
      </c>
      <c r="K69" t="n">
        <v>0</v>
      </c>
      <c r="L69" t="n">
        <v>0</v>
      </c>
      <c r="M69" t="n">
        <v>0</v>
      </c>
      <c r="N69" t="n">
        <v>0</v>
      </c>
      <c r="O69" t="n">
        <v>0</v>
      </c>
      <c r="P69" t="n">
        <v>0</v>
      </c>
      <c r="Q69" t="n">
        <v>0</v>
      </c>
      <c r="R69" t="n">
        <v>0</v>
      </c>
      <c r="S69" t="n">
        <v>0</v>
      </c>
      <c r="T69" t="n">
        <v>0</v>
      </c>
      <c r="U69" s="2" t="inlineStr"/>
    </row>
    <row r="70" ht="15" customHeight="1">
      <c r="A70" t="inlineStr">
        <is>
          <t>A 42184-2021</t>
        </is>
      </c>
      <c r="B70" t="inlineStr">
        <is>
          <t>avverkningsanmälan</t>
        </is>
      </c>
      <c r="C70" t="inlineStr">
        <is>
          <t>Föryngringsavverkning</t>
        </is>
      </c>
      <c r="D70" s="1" t="n">
        <v>44426</v>
      </c>
      <c r="E70" s="1" t="n">
        <v>46222</v>
      </c>
      <c r="F70" t="inlineStr">
        <is>
          <t>ÖREBRO LÄN</t>
        </is>
      </c>
      <c r="G70" t="inlineStr">
        <is>
          <t>LAXÅ</t>
        </is>
      </c>
      <c r="H70" t="inlineStr">
        <is>
          <t>Sveaskog</t>
        </is>
      </c>
      <c r="I70" t="n">
        <v>0.9</v>
      </c>
      <c r="J70" t="n">
        <v>0</v>
      </c>
      <c r="K70" t="n">
        <v>0</v>
      </c>
      <c r="L70" t="n">
        <v>0</v>
      </c>
      <c r="M70" t="n">
        <v>0</v>
      </c>
      <c r="N70" t="n">
        <v>0</v>
      </c>
      <c r="O70" t="n">
        <v>0</v>
      </c>
      <c r="P70" t="n">
        <v>0</v>
      </c>
      <c r="Q70" t="n">
        <v>0</v>
      </c>
      <c r="R70" t="n">
        <v>0</v>
      </c>
      <c r="S70" t="n">
        <v>0</v>
      </c>
      <c r="T70" t="n">
        <v>0</v>
      </c>
      <c r="U70" s="2" t="inlineStr"/>
    </row>
    <row r="71" ht="15" customHeight="1">
      <c r="A71" t="inlineStr">
        <is>
          <t>A 15502-2022</t>
        </is>
      </c>
      <c r="B71" t="inlineStr">
        <is>
          <t>avverkningsanmälan</t>
        </is>
      </c>
      <c r="C71" t="inlineStr">
        <is>
          <t>Föryngringsavverkning</t>
        </is>
      </c>
      <c r="D71" s="1" t="n">
        <v>44662</v>
      </c>
      <c r="E71" s="1" t="n">
        <v>46222</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s="2" t="inlineStr"/>
    </row>
    <row r="72" ht="15" customHeight="1">
      <c r="A72" t="inlineStr">
        <is>
          <t>A 36348-2022</t>
        </is>
      </c>
      <c r="B72" t="inlineStr">
        <is>
          <t>avverkningsanmälan</t>
        </is>
      </c>
      <c r="C72" t="inlineStr">
        <is>
          <t>Föryngringsavverkning</t>
        </is>
      </c>
      <c r="D72" s="1" t="n">
        <v>44803</v>
      </c>
      <c r="E72" s="1" t="n">
        <v>46222</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s="2" t="inlineStr"/>
    </row>
    <row r="73" ht="15" customHeight="1">
      <c r="A73" t="inlineStr">
        <is>
          <t>A 37137-2022</t>
        </is>
      </c>
      <c r="B73" t="inlineStr">
        <is>
          <t>avverkningsanmälan</t>
        </is>
      </c>
      <c r="C73" t="inlineStr">
        <is>
          <t>Föryngringsavverkning</t>
        </is>
      </c>
      <c r="D73" s="1" t="n">
        <v>44805</v>
      </c>
      <c r="E73" s="1" t="n">
        <v>46222</v>
      </c>
      <c r="F73" t="inlineStr">
        <is>
          <t>ÖREBRO LÄN</t>
        </is>
      </c>
      <c r="G73" t="inlineStr">
        <is>
          <t>LAXÅ</t>
        </is>
      </c>
      <c r="I73" t="n">
        <v>12</v>
      </c>
      <c r="J73" t="n">
        <v>0</v>
      </c>
      <c r="K73" t="n">
        <v>0</v>
      </c>
      <c r="L73" t="n">
        <v>0</v>
      </c>
      <c r="M73" t="n">
        <v>0</v>
      </c>
      <c r="N73" t="n">
        <v>0</v>
      </c>
      <c r="O73" t="n">
        <v>0</v>
      </c>
      <c r="P73" t="n">
        <v>0</v>
      </c>
      <c r="Q73" t="n">
        <v>0</v>
      </c>
      <c r="R73" t="n">
        <v>0</v>
      </c>
      <c r="S73" t="n">
        <v>0</v>
      </c>
      <c r="T73" t="n">
        <v>0</v>
      </c>
      <c r="U73" s="2" t="inlineStr"/>
    </row>
    <row r="74" ht="15" customHeight="1">
      <c r="A74" t="inlineStr">
        <is>
          <t>A 57959-2021</t>
        </is>
      </c>
      <c r="B74" t="inlineStr">
        <is>
          <t>avverkningsanmälan</t>
        </is>
      </c>
      <c r="C74" t="inlineStr">
        <is>
          <t>Föryngringsavverkning</t>
        </is>
      </c>
      <c r="D74" s="1" t="n">
        <v>44484</v>
      </c>
      <c r="E74" s="1" t="n">
        <v>46222</v>
      </c>
      <c r="F74" t="inlineStr">
        <is>
          <t>ÖREBRO LÄN</t>
        </is>
      </c>
      <c r="G74" t="inlineStr">
        <is>
          <t>LAXÅ</t>
        </is>
      </c>
      <c r="I74" t="n">
        <v>5.3</v>
      </c>
      <c r="J74" t="n">
        <v>0</v>
      </c>
      <c r="K74" t="n">
        <v>0</v>
      </c>
      <c r="L74" t="n">
        <v>0</v>
      </c>
      <c r="M74" t="n">
        <v>0</v>
      </c>
      <c r="N74" t="n">
        <v>0</v>
      </c>
      <c r="O74" t="n">
        <v>0</v>
      </c>
      <c r="P74" t="n">
        <v>0</v>
      </c>
      <c r="Q74" t="n">
        <v>0</v>
      </c>
      <c r="R74" t="n">
        <v>0</v>
      </c>
      <c r="S74" t="n">
        <v>0</v>
      </c>
      <c r="T74" t="n">
        <v>0</v>
      </c>
      <c r="U74" s="2" t="inlineStr"/>
    </row>
    <row r="75" ht="15" customHeight="1">
      <c r="A75" t="inlineStr">
        <is>
          <t>A 36520-2022</t>
        </is>
      </c>
      <c r="B75" t="inlineStr">
        <is>
          <t>avverkningsanmälan</t>
        </is>
      </c>
      <c r="C75" t="inlineStr">
        <is>
          <t>Föryngringsavverkning</t>
        </is>
      </c>
      <c r="D75" s="1" t="n">
        <v>44804</v>
      </c>
      <c r="E75" s="1" t="n">
        <v>46222</v>
      </c>
      <c r="F75" t="inlineStr">
        <is>
          <t>ÖREBRO LÄN</t>
        </is>
      </c>
      <c r="G75" t="inlineStr">
        <is>
          <t>LAXÅ</t>
        </is>
      </c>
      <c r="I75" t="n">
        <v>1.1</v>
      </c>
      <c r="J75" t="n">
        <v>0</v>
      </c>
      <c r="K75" t="n">
        <v>0</v>
      </c>
      <c r="L75" t="n">
        <v>0</v>
      </c>
      <c r="M75" t="n">
        <v>0</v>
      </c>
      <c r="N75" t="n">
        <v>0</v>
      </c>
      <c r="O75" t="n">
        <v>0</v>
      </c>
      <c r="P75" t="n">
        <v>0</v>
      </c>
      <c r="Q75" t="n">
        <v>0</v>
      </c>
      <c r="R75" t="n">
        <v>0</v>
      </c>
      <c r="S75" t="n">
        <v>0</v>
      </c>
      <c r="T75" t="n">
        <v>0</v>
      </c>
      <c r="U75" s="2" t="inlineStr"/>
    </row>
    <row r="76" ht="15" customHeight="1">
      <c r="A76" t="inlineStr">
        <is>
          <t>A 8898-2022</t>
        </is>
      </c>
      <c r="B76" t="inlineStr">
        <is>
          <t>avverkningsanmälan</t>
        </is>
      </c>
      <c r="C76" t="inlineStr">
        <is>
          <t>Föryngringsavverkning</t>
        </is>
      </c>
      <c r="D76" s="1" t="n">
        <v>44614</v>
      </c>
      <c r="E76" s="1" t="n">
        <v>46222</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s="2" t="inlineStr"/>
    </row>
    <row r="77" ht="15" customHeight="1">
      <c r="A77" t="inlineStr">
        <is>
          <t>A 69035-2021</t>
        </is>
      </c>
      <c r="B77" t="inlineStr">
        <is>
          <t>avverkningsanmälan</t>
        </is>
      </c>
      <c r="C77" t="inlineStr">
        <is>
          <t>Föryngringsavverkning</t>
        </is>
      </c>
      <c r="D77" s="1" t="n">
        <v>44530</v>
      </c>
      <c r="E77" s="1" t="n">
        <v>46222</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s="2" t="inlineStr"/>
    </row>
    <row r="78" ht="15" customHeight="1">
      <c r="A78" t="inlineStr">
        <is>
          <t>A 2372-2022</t>
        </is>
      </c>
      <c r="B78" t="inlineStr">
        <is>
          <t>avverkningsanmälan</t>
        </is>
      </c>
      <c r="C78" t="inlineStr">
        <is>
          <t>Föryngringsavverkning</t>
        </is>
      </c>
      <c r="D78" s="1" t="n">
        <v>44579</v>
      </c>
      <c r="E78" s="1" t="n">
        <v>46222</v>
      </c>
      <c r="F78" t="inlineStr">
        <is>
          <t>ÖREBRO LÄN</t>
        </is>
      </c>
      <c r="G78" t="inlineStr">
        <is>
          <t>LAXÅ</t>
        </is>
      </c>
      <c r="I78" t="n">
        <v>0.5</v>
      </c>
      <c r="J78" t="n">
        <v>0</v>
      </c>
      <c r="K78" t="n">
        <v>0</v>
      </c>
      <c r="L78" t="n">
        <v>0</v>
      </c>
      <c r="M78" t="n">
        <v>0</v>
      </c>
      <c r="N78" t="n">
        <v>0</v>
      </c>
      <c r="O78" t="n">
        <v>0</v>
      </c>
      <c r="P78" t="n">
        <v>0</v>
      </c>
      <c r="Q78" t="n">
        <v>0</v>
      </c>
      <c r="R78" t="n">
        <v>0</v>
      </c>
      <c r="S78" t="n">
        <v>0</v>
      </c>
      <c r="T78" t="n">
        <v>0</v>
      </c>
      <c r="U78" s="2" t="inlineStr"/>
    </row>
    <row r="79" ht="15" customHeight="1">
      <c r="A79" t="inlineStr">
        <is>
          <t>A 15518-2022</t>
        </is>
      </c>
      <c r="B79" t="inlineStr">
        <is>
          <t>avverkningsanmälan</t>
        </is>
      </c>
      <c r="C79" t="inlineStr">
        <is>
          <t>Föryngringsavverkning</t>
        </is>
      </c>
      <c r="D79" s="1" t="n">
        <v>44662</v>
      </c>
      <c r="E79" s="1" t="n">
        <v>46222</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s="2" t="inlineStr"/>
    </row>
    <row r="80" ht="15" customHeight="1">
      <c r="A80" t="inlineStr">
        <is>
          <t>A 46484-2021</t>
        </is>
      </c>
      <c r="B80" t="inlineStr">
        <is>
          <t>avverkningsanmälan</t>
        </is>
      </c>
      <c r="C80" t="inlineStr">
        <is>
          <t>Föryngringsavverkning</t>
        </is>
      </c>
      <c r="D80" s="1" t="n">
        <v>44445</v>
      </c>
      <c r="E80" s="1" t="n">
        <v>46222</v>
      </c>
      <c r="F80" t="inlineStr">
        <is>
          <t>ÖREBRO LÄN</t>
        </is>
      </c>
      <c r="G80" t="inlineStr">
        <is>
          <t>LAXÅ</t>
        </is>
      </c>
      <c r="H80" t="inlineStr">
        <is>
          <t>Sveaskog</t>
        </is>
      </c>
      <c r="I80" t="n">
        <v>0.3</v>
      </c>
      <c r="J80" t="n">
        <v>0</v>
      </c>
      <c r="K80" t="n">
        <v>0</v>
      </c>
      <c r="L80" t="n">
        <v>0</v>
      </c>
      <c r="M80" t="n">
        <v>0</v>
      </c>
      <c r="N80" t="n">
        <v>0</v>
      </c>
      <c r="O80" t="n">
        <v>0</v>
      </c>
      <c r="P80" t="n">
        <v>0</v>
      </c>
      <c r="Q80" t="n">
        <v>0</v>
      </c>
      <c r="R80" t="n">
        <v>0</v>
      </c>
      <c r="S80" t="n">
        <v>0</v>
      </c>
      <c r="T80" t="n">
        <v>0</v>
      </c>
      <c r="U80" s="2" t="inlineStr"/>
    </row>
    <row r="81" ht="15" customHeight="1">
      <c r="A81" t="inlineStr">
        <is>
          <t>A 978-2022</t>
        </is>
      </c>
      <c r="B81" t="inlineStr">
        <is>
          <t>avverkningsanmälan</t>
        </is>
      </c>
      <c r="C81" t="inlineStr">
        <is>
          <t>Avverkning för annat ändamål</t>
        </is>
      </c>
      <c r="D81" s="1" t="n">
        <v>44571</v>
      </c>
      <c r="E81" s="1" t="n">
        <v>46222</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s="2" t="inlineStr"/>
    </row>
    <row r="82" ht="15" customHeight="1">
      <c r="A82" t="inlineStr">
        <is>
          <t>A 62423-2021</t>
        </is>
      </c>
      <c r="B82" t="inlineStr">
        <is>
          <t>avverkningsanmälan</t>
        </is>
      </c>
      <c r="C82" t="inlineStr">
        <is>
          <t>Föryngringsavverkning</t>
        </is>
      </c>
      <c r="D82" s="1" t="n">
        <v>44503</v>
      </c>
      <c r="E82" s="1" t="n">
        <v>46222</v>
      </c>
      <c r="F82" t="inlineStr">
        <is>
          <t>ÖREBRO LÄN</t>
        </is>
      </c>
      <c r="G82" t="inlineStr">
        <is>
          <t>LAXÅ</t>
        </is>
      </c>
      <c r="H82" t="inlineStr">
        <is>
          <t>Sveaskog</t>
        </is>
      </c>
      <c r="I82" t="n">
        <v>5.5</v>
      </c>
      <c r="J82" t="n">
        <v>0</v>
      </c>
      <c r="K82" t="n">
        <v>0</v>
      </c>
      <c r="L82" t="n">
        <v>0</v>
      </c>
      <c r="M82" t="n">
        <v>0</v>
      </c>
      <c r="N82" t="n">
        <v>0</v>
      </c>
      <c r="O82" t="n">
        <v>0</v>
      </c>
      <c r="P82" t="n">
        <v>0</v>
      </c>
      <c r="Q82" t="n">
        <v>0</v>
      </c>
      <c r="R82" t="n">
        <v>0</v>
      </c>
      <c r="S82" t="n">
        <v>0</v>
      </c>
      <c r="T82" t="n">
        <v>0</v>
      </c>
      <c r="U82" s="2" t="inlineStr"/>
    </row>
    <row r="83" ht="15" customHeight="1">
      <c r="A83" t="inlineStr">
        <is>
          <t>A 62437-2021</t>
        </is>
      </c>
      <c r="B83" t="inlineStr">
        <is>
          <t>avverkningsanmälan</t>
        </is>
      </c>
      <c r="C83" t="inlineStr">
        <is>
          <t>Föryngringsavverkning</t>
        </is>
      </c>
      <c r="D83" s="1" t="n">
        <v>44503</v>
      </c>
      <c r="E83" s="1" t="n">
        <v>46222</v>
      </c>
      <c r="F83" t="inlineStr">
        <is>
          <t>ÖREBRO LÄN</t>
        </is>
      </c>
      <c r="G83" t="inlineStr">
        <is>
          <t>LAXÅ</t>
        </is>
      </c>
      <c r="H83" t="inlineStr">
        <is>
          <t>Sveaskog</t>
        </is>
      </c>
      <c r="I83" t="n">
        <v>1.5</v>
      </c>
      <c r="J83" t="n">
        <v>0</v>
      </c>
      <c r="K83" t="n">
        <v>0</v>
      </c>
      <c r="L83" t="n">
        <v>0</v>
      </c>
      <c r="M83" t="n">
        <v>0</v>
      </c>
      <c r="N83" t="n">
        <v>0</v>
      </c>
      <c r="O83" t="n">
        <v>0</v>
      </c>
      <c r="P83" t="n">
        <v>0</v>
      </c>
      <c r="Q83" t="n">
        <v>0</v>
      </c>
      <c r="R83" t="n">
        <v>0</v>
      </c>
      <c r="S83" t="n">
        <v>0</v>
      </c>
      <c r="T83" t="n">
        <v>0</v>
      </c>
      <c r="U83" s="2" t="inlineStr"/>
    </row>
    <row r="84" ht="15" customHeight="1">
      <c r="A84" t="inlineStr">
        <is>
          <t>A 10673-2023</t>
        </is>
      </c>
      <c r="B84" t="inlineStr">
        <is>
          <t>avverkningsanmälan</t>
        </is>
      </c>
      <c r="C84" t="inlineStr">
        <is>
          <t>Föryngringsavverkning</t>
        </is>
      </c>
      <c r="D84" s="1" t="n">
        <v>44988</v>
      </c>
      <c r="E84" s="1" t="n">
        <v>46222</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s="2" t="inlineStr"/>
    </row>
    <row r="85" ht="15" customHeight="1">
      <c r="A85" t="inlineStr">
        <is>
          <t>A 53538-2023</t>
        </is>
      </c>
      <c r="B85" t="inlineStr">
        <is>
          <t>avverkningsanmälan</t>
        </is>
      </c>
      <c r="C85" t="inlineStr">
        <is>
          <t>Föryngringsavverkning</t>
        </is>
      </c>
      <c r="D85" s="1" t="n">
        <v>45230</v>
      </c>
      <c r="E85" s="1" t="n">
        <v>46222</v>
      </c>
      <c r="F85" t="inlineStr">
        <is>
          <t>ÖREBRO LÄN</t>
        </is>
      </c>
      <c r="G85" t="inlineStr">
        <is>
          <t>LAXÅ</t>
        </is>
      </c>
      <c r="I85" t="n">
        <v>3</v>
      </c>
      <c r="J85" t="n">
        <v>0</v>
      </c>
      <c r="K85" t="n">
        <v>0</v>
      </c>
      <c r="L85" t="n">
        <v>0</v>
      </c>
      <c r="M85" t="n">
        <v>0</v>
      </c>
      <c r="N85" t="n">
        <v>0</v>
      </c>
      <c r="O85" t="n">
        <v>0</v>
      </c>
      <c r="P85" t="n">
        <v>0</v>
      </c>
      <c r="Q85" t="n">
        <v>0</v>
      </c>
      <c r="R85" t="n">
        <v>0</v>
      </c>
      <c r="S85" t="n">
        <v>0</v>
      </c>
      <c r="T85" t="n">
        <v>0</v>
      </c>
      <c r="U85" s="2" t="inlineStr"/>
    </row>
    <row r="86" ht="15" customHeight="1">
      <c r="A86" t="inlineStr">
        <is>
          <t>A 12060-2024</t>
        </is>
      </c>
      <c r="B86" t="inlineStr">
        <is>
          <t>avverkningsanmälan</t>
        </is>
      </c>
      <c r="C86" t="inlineStr">
        <is>
          <t>Föryngringsavverkning</t>
        </is>
      </c>
      <c r="D86" s="1" t="n">
        <v>45377</v>
      </c>
      <c r="E86" s="1" t="n">
        <v>46222</v>
      </c>
      <c r="F86" t="inlineStr">
        <is>
          <t>ÖREBRO LÄN</t>
        </is>
      </c>
      <c r="G86" t="inlineStr">
        <is>
          <t>LAXÅ</t>
        </is>
      </c>
      <c r="H86" t="inlineStr">
        <is>
          <t>Sveaskog</t>
        </is>
      </c>
      <c r="I86" t="n">
        <v>3.3</v>
      </c>
      <c r="J86" t="n">
        <v>0</v>
      </c>
      <c r="K86" t="n">
        <v>0</v>
      </c>
      <c r="L86" t="n">
        <v>0</v>
      </c>
      <c r="M86" t="n">
        <v>0</v>
      </c>
      <c r="N86" t="n">
        <v>0</v>
      </c>
      <c r="O86" t="n">
        <v>0</v>
      </c>
      <c r="P86" t="n">
        <v>0</v>
      </c>
      <c r="Q86" t="n">
        <v>0</v>
      </c>
      <c r="R86" t="n">
        <v>0</v>
      </c>
      <c r="S86" t="n">
        <v>0</v>
      </c>
      <c r="T86" t="n">
        <v>0</v>
      </c>
      <c r="U86" s="2" t="inlineStr"/>
    </row>
    <row r="87" ht="15" customHeight="1">
      <c r="A87" t="inlineStr">
        <is>
          <t>A 12065-2024</t>
        </is>
      </c>
      <c r="B87" t="inlineStr">
        <is>
          <t>avverkningsanmälan</t>
        </is>
      </c>
      <c r="C87" t="inlineStr">
        <is>
          <t>Föryngringsavverkning</t>
        </is>
      </c>
      <c r="D87" s="1" t="n">
        <v>45377</v>
      </c>
      <c r="E87" s="1" t="n">
        <v>46222</v>
      </c>
      <c r="F87" t="inlineStr">
        <is>
          <t>ÖREBRO LÄN</t>
        </is>
      </c>
      <c r="G87" t="inlineStr">
        <is>
          <t>LAXÅ</t>
        </is>
      </c>
      <c r="H87" t="inlineStr">
        <is>
          <t>Sveaskog</t>
        </is>
      </c>
      <c r="I87" t="n">
        <v>4.3</v>
      </c>
      <c r="J87" t="n">
        <v>0</v>
      </c>
      <c r="K87" t="n">
        <v>0</v>
      </c>
      <c r="L87" t="n">
        <v>0</v>
      </c>
      <c r="M87" t="n">
        <v>0</v>
      </c>
      <c r="N87" t="n">
        <v>0</v>
      </c>
      <c r="O87" t="n">
        <v>0</v>
      </c>
      <c r="P87" t="n">
        <v>0</v>
      </c>
      <c r="Q87" t="n">
        <v>0</v>
      </c>
      <c r="R87" t="n">
        <v>0</v>
      </c>
      <c r="S87" t="n">
        <v>0</v>
      </c>
      <c r="T87" t="n">
        <v>0</v>
      </c>
      <c r="U87" s="2" t="inlineStr"/>
    </row>
    <row r="88" ht="15" customHeight="1">
      <c r="A88" t="inlineStr">
        <is>
          <t>A 38547-2022</t>
        </is>
      </c>
      <c r="B88" t="inlineStr">
        <is>
          <t>avverkningsanmälan</t>
        </is>
      </c>
      <c r="C88" t="inlineStr">
        <is>
          <t>Föryngringsavverkning</t>
        </is>
      </c>
      <c r="D88" s="1" t="n">
        <v>44813</v>
      </c>
      <c r="E88" s="1" t="n">
        <v>46222</v>
      </c>
      <c r="F88" t="inlineStr">
        <is>
          <t>ÖREBRO LÄN</t>
        </is>
      </c>
      <c r="G88" t="inlineStr">
        <is>
          <t>LAXÅ</t>
        </is>
      </c>
      <c r="H88" t="inlineStr">
        <is>
          <t>Sveaskog</t>
        </is>
      </c>
      <c r="I88" t="n">
        <v>1.2</v>
      </c>
      <c r="J88" t="n">
        <v>0</v>
      </c>
      <c r="K88" t="n">
        <v>0</v>
      </c>
      <c r="L88" t="n">
        <v>0</v>
      </c>
      <c r="M88" t="n">
        <v>0</v>
      </c>
      <c r="N88" t="n">
        <v>0</v>
      </c>
      <c r="O88" t="n">
        <v>0</v>
      </c>
      <c r="P88" t="n">
        <v>0</v>
      </c>
      <c r="Q88" t="n">
        <v>0</v>
      </c>
      <c r="R88" t="n">
        <v>0</v>
      </c>
      <c r="S88" t="n">
        <v>0</v>
      </c>
      <c r="T88" t="n">
        <v>0</v>
      </c>
      <c r="U88" s="2" t="inlineStr"/>
    </row>
    <row r="89" ht="15" customHeight="1">
      <c r="A89" t="inlineStr">
        <is>
          <t>A 38554-2022</t>
        </is>
      </c>
      <c r="B89" t="inlineStr">
        <is>
          <t>avverkningsanmälan</t>
        </is>
      </c>
      <c r="C89" t="inlineStr">
        <is>
          <t>Föryngringsavverkning</t>
        </is>
      </c>
      <c r="D89" s="1" t="n">
        <v>44813</v>
      </c>
      <c r="E89" s="1" t="n">
        <v>46222</v>
      </c>
      <c r="F89" t="inlineStr">
        <is>
          <t>ÖREBRO LÄN</t>
        </is>
      </c>
      <c r="G89" t="inlineStr">
        <is>
          <t>LAXÅ</t>
        </is>
      </c>
      <c r="H89" t="inlineStr">
        <is>
          <t>Sveaskog</t>
        </is>
      </c>
      <c r="I89" t="n">
        <v>0.9</v>
      </c>
      <c r="J89" t="n">
        <v>0</v>
      </c>
      <c r="K89" t="n">
        <v>0</v>
      </c>
      <c r="L89" t="n">
        <v>0</v>
      </c>
      <c r="M89" t="n">
        <v>0</v>
      </c>
      <c r="N89" t="n">
        <v>0</v>
      </c>
      <c r="O89" t="n">
        <v>0</v>
      </c>
      <c r="P89" t="n">
        <v>0</v>
      </c>
      <c r="Q89" t="n">
        <v>0</v>
      </c>
      <c r="R89" t="n">
        <v>0</v>
      </c>
      <c r="S89" t="n">
        <v>0</v>
      </c>
      <c r="T89" t="n">
        <v>0</v>
      </c>
      <c r="U89" s="2" t="inlineStr"/>
    </row>
    <row r="90" ht="15" customHeight="1">
      <c r="A90" t="inlineStr">
        <is>
          <t>A 19177-2023</t>
        </is>
      </c>
      <c r="B90" t="inlineStr">
        <is>
          <t>avverkningsanmälan</t>
        </is>
      </c>
      <c r="C90" t="inlineStr">
        <is>
          <t>Föryngringsavverkning</t>
        </is>
      </c>
      <c r="D90" s="1" t="n">
        <v>45048</v>
      </c>
      <c r="E90" s="1" t="n">
        <v>46222</v>
      </c>
      <c r="F90" t="inlineStr">
        <is>
          <t>ÖREBRO LÄN</t>
        </is>
      </c>
      <c r="G90" t="inlineStr">
        <is>
          <t>LAXÅ</t>
        </is>
      </c>
      <c r="H90" t="inlineStr">
        <is>
          <t>Sveaskog</t>
        </is>
      </c>
      <c r="I90" t="n">
        <v>2.8</v>
      </c>
      <c r="J90" t="n">
        <v>0</v>
      </c>
      <c r="K90" t="n">
        <v>0</v>
      </c>
      <c r="L90" t="n">
        <v>0</v>
      </c>
      <c r="M90" t="n">
        <v>0</v>
      </c>
      <c r="N90" t="n">
        <v>0</v>
      </c>
      <c r="O90" t="n">
        <v>0</v>
      </c>
      <c r="P90" t="n">
        <v>0</v>
      </c>
      <c r="Q90" t="n">
        <v>0</v>
      </c>
      <c r="R90" t="n">
        <v>0</v>
      </c>
      <c r="S90" t="n">
        <v>0</v>
      </c>
      <c r="T90" t="n">
        <v>0</v>
      </c>
      <c r="U90" s="2" t="inlineStr"/>
    </row>
    <row r="91" ht="15" customHeight="1">
      <c r="A91" t="inlineStr">
        <is>
          <t>A 34594-2022</t>
        </is>
      </c>
      <c r="B91" t="inlineStr">
        <is>
          <t>avverkningsanmälan</t>
        </is>
      </c>
      <c r="C91" t="inlineStr">
        <is>
          <t>Föryngringsavverkning</t>
        </is>
      </c>
      <c r="D91" s="1" t="n">
        <v>44795</v>
      </c>
      <c r="E91" s="1" t="n">
        <v>46222</v>
      </c>
      <c r="F91" t="inlineStr">
        <is>
          <t>ÖREBRO LÄN</t>
        </is>
      </c>
      <c r="G91" t="inlineStr">
        <is>
          <t>LAXÅ</t>
        </is>
      </c>
      <c r="I91" t="n">
        <v>2.1</v>
      </c>
      <c r="J91" t="n">
        <v>0</v>
      </c>
      <c r="K91" t="n">
        <v>0</v>
      </c>
      <c r="L91" t="n">
        <v>0</v>
      </c>
      <c r="M91" t="n">
        <v>0</v>
      </c>
      <c r="N91" t="n">
        <v>0</v>
      </c>
      <c r="O91" t="n">
        <v>0</v>
      </c>
      <c r="P91" t="n">
        <v>0</v>
      </c>
      <c r="Q91" t="n">
        <v>0</v>
      </c>
      <c r="R91" t="n">
        <v>0</v>
      </c>
      <c r="S91" t="n">
        <v>0</v>
      </c>
      <c r="T91" t="n">
        <v>0</v>
      </c>
      <c r="U91" s="2" t="inlineStr"/>
    </row>
    <row r="92" ht="15" customHeight="1">
      <c r="A92" t="inlineStr">
        <is>
          <t>A 21522-2024</t>
        </is>
      </c>
      <c r="B92" t="inlineStr">
        <is>
          <t>avverkningsanmälan</t>
        </is>
      </c>
      <c r="C92" t="inlineStr">
        <is>
          <t>Avverkning för annat ändamål</t>
        </is>
      </c>
      <c r="D92" s="1" t="n">
        <v>45441</v>
      </c>
      <c r="E92" s="1" t="n">
        <v>46222</v>
      </c>
      <c r="F92" t="inlineStr">
        <is>
          <t>ÖREBRO LÄN</t>
        </is>
      </c>
      <c r="G92" t="inlineStr">
        <is>
          <t>LAXÅ</t>
        </is>
      </c>
      <c r="I92" t="n">
        <v>4.7</v>
      </c>
      <c r="J92" t="n">
        <v>0</v>
      </c>
      <c r="K92" t="n">
        <v>0</v>
      </c>
      <c r="L92" t="n">
        <v>0</v>
      </c>
      <c r="M92" t="n">
        <v>0</v>
      </c>
      <c r="N92" t="n">
        <v>0</v>
      </c>
      <c r="O92" t="n">
        <v>0</v>
      </c>
      <c r="P92" t="n">
        <v>0</v>
      </c>
      <c r="Q92" t="n">
        <v>0</v>
      </c>
      <c r="R92" t="n">
        <v>0</v>
      </c>
      <c r="S92" t="n">
        <v>0</v>
      </c>
      <c r="T92" t="n">
        <v>0</v>
      </c>
      <c r="U92" s="2" t="inlineStr"/>
    </row>
    <row r="93" ht="15" customHeight="1">
      <c r="A93" t="inlineStr">
        <is>
          <t>A 53016-2023</t>
        </is>
      </c>
      <c r="B93" t="inlineStr">
        <is>
          <t>avverkningsanmälan</t>
        </is>
      </c>
      <c r="C93" t="inlineStr">
        <is>
          <t>Avverkning för att bevara och utveckla /försöksver</t>
        </is>
      </c>
      <c r="D93" s="1" t="n">
        <v>45226</v>
      </c>
      <c r="E93" s="1" t="n">
        <v>46222</v>
      </c>
      <c r="F93" t="inlineStr">
        <is>
          <t>ÖREBRO LÄN</t>
        </is>
      </c>
      <c r="G93" t="inlineStr">
        <is>
          <t>LAXÅ</t>
        </is>
      </c>
      <c r="H93" t="inlineStr">
        <is>
          <t>Sveaskog</t>
        </is>
      </c>
      <c r="I93" t="n">
        <v>1.4</v>
      </c>
      <c r="J93" t="n">
        <v>0</v>
      </c>
      <c r="K93" t="n">
        <v>0</v>
      </c>
      <c r="L93" t="n">
        <v>0</v>
      </c>
      <c r="M93" t="n">
        <v>0</v>
      </c>
      <c r="N93" t="n">
        <v>0</v>
      </c>
      <c r="O93" t="n">
        <v>0</v>
      </c>
      <c r="P93" t="n">
        <v>0</v>
      </c>
      <c r="Q93" t="n">
        <v>0</v>
      </c>
      <c r="R93" t="n">
        <v>0</v>
      </c>
      <c r="S93" t="n">
        <v>0</v>
      </c>
      <c r="T93" t="n">
        <v>0</v>
      </c>
      <c r="U93" s="2" t="inlineStr"/>
    </row>
    <row r="94" ht="15" customHeight="1">
      <c r="A94" t="inlineStr">
        <is>
          <t>A 23674-2024</t>
        </is>
      </c>
      <c r="B94" t="inlineStr">
        <is>
          <t>avverkningsanmälan</t>
        </is>
      </c>
      <c r="C94" t="inlineStr">
        <is>
          <t>Föryngringsavverkning</t>
        </is>
      </c>
      <c r="D94" s="1" t="n">
        <v>45454</v>
      </c>
      <c r="E94" s="1" t="n">
        <v>46222</v>
      </c>
      <c r="F94" t="inlineStr">
        <is>
          <t>ÖREBRO LÄN</t>
        </is>
      </c>
      <c r="G94" t="inlineStr">
        <is>
          <t>LAXÅ</t>
        </is>
      </c>
      <c r="I94" t="n">
        <v>6.5</v>
      </c>
      <c r="J94" t="n">
        <v>0</v>
      </c>
      <c r="K94" t="n">
        <v>0</v>
      </c>
      <c r="L94" t="n">
        <v>0</v>
      </c>
      <c r="M94" t="n">
        <v>0</v>
      </c>
      <c r="N94" t="n">
        <v>0</v>
      </c>
      <c r="O94" t="n">
        <v>0</v>
      </c>
      <c r="P94" t="n">
        <v>0</v>
      </c>
      <c r="Q94" t="n">
        <v>0</v>
      </c>
      <c r="R94" t="n">
        <v>0</v>
      </c>
      <c r="S94" t="n">
        <v>0</v>
      </c>
      <c r="T94" t="n">
        <v>0</v>
      </c>
      <c r="U94" s="2" t="inlineStr"/>
    </row>
    <row r="95" ht="15" customHeight="1">
      <c r="A95" t="inlineStr">
        <is>
          <t>A 33774-2022</t>
        </is>
      </c>
      <c r="B95" t="inlineStr">
        <is>
          <t>avverkningsanmälan</t>
        </is>
      </c>
      <c r="C95" t="inlineStr">
        <is>
          <t>Föryngringsavverkning</t>
        </is>
      </c>
      <c r="D95" s="1" t="n">
        <v>44790</v>
      </c>
      <c r="E95" s="1" t="n">
        <v>46222</v>
      </c>
      <c r="F95" t="inlineStr">
        <is>
          <t>ÖREBRO LÄN</t>
        </is>
      </c>
      <c r="G95" t="inlineStr">
        <is>
          <t>LAXÅ</t>
        </is>
      </c>
      <c r="H95" t="inlineStr">
        <is>
          <t>Sveaskog</t>
        </is>
      </c>
      <c r="I95" t="n">
        <v>1</v>
      </c>
      <c r="J95" t="n">
        <v>0</v>
      </c>
      <c r="K95" t="n">
        <v>0</v>
      </c>
      <c r="L95" t="n">
        <v>0</v>
      </c>
      <c r="M95" t="n">
        <v>0</v>
      </c>
      <c r="N95" t="n">
        <v>0</v>
      </c>
      <c r="O95" t="n">
        <v>0</v>
      </c>
      <c r="P95" t="n">
        <v>0</v>
      </c>
      <c r="Q95" t="n">
        <v>0</v>
      </c>
      <c r="R95" t="n">
        <v>0</v>
      </c>
      <c r="S95" t="n">
        <v>0</v>
      </c>
      <c r="T95" t="n">
        <v>0</v>
      </c>
      <c r="U95" s="2" t="inlineStr"/>
    </row>
    <row r="96" ht="15" customHeight="1">
      <c r="A96" t="inlineStr">
        <is>
          <t>A 61090-2023</t>
        </is>
      </c>
      <c r="B96" t="inlineStr">
        <is>
          <t>avverkningsanmälan</t>
        </is>
      </c>
      <c r="C96" t="inlineStr">
        <is>
          <t>Föryngringsavverkning</t>
        </is>
      </c>
      <c r="D96" s="1" t="n">
        <v>45261</v>
      </c>
      <c r="E96" s="1" t="n">
        <v>46222</v>
      </c>
      <c r="F96" t="inlineStr">
        <is>
          <t>ÖREBRO LÄN</t>
        </is>
      </c>
      <c r="G96" t="inlineStr">
        <is>
          <t>LAXÅ</t>
        </is>
      </c>
      <c r="H96" t="inlineStr">
        <is>
          <t>Sveaskog</t>
        </is>
      </c>
      <c r="I96" t="n">
        <v>0.8</v>
      </c>
      <c r="J96" t="n">
        <v>0</v>
      </c>
      <c r="K96" t="n">
        <v>0</v>
      </c>
      <c r="L96" t="n">
        <v>0</v>
      </c>
      <c r="M96" t="n">
        <v>0</v>
      </c>
      <c r="N96" t="n">
        <v>0</v>
      </c>
      <c r="O96" t="n">
        <v>0</v>
      </c>
      <c r="P96" t="n">
        <v>0</v>
      </c>
      <c r="Q96" t="n">
        <v>0</v>
      </c>
      <c r="R96" t="n">
        <v>0</v>
      </c>
      <c r="S96" t="n">
        <v>0</v>
      </c>
      <c r="T96" t="n">
        <v>0</v>
      </c>
      <c r="U96" s="2" t="inlineStr"/>
    </row>
    <row r="97" ht="15" customHeight="1">
      <c r="A97" t="inlineStr">
        <is>
          <t>A 57367-2021</t>
        </is>
      </c>
      <c r="B97" t="inlineStr">
        <is>
          <t>avverkningsanmälan</t>
        </is>
      </c>
      <c r="C97" t="inlineStr">
        <is>
          <t>Föryngringsavverkning</t>
        </is>
      </c>
      <c r="D97" s="1" t="n">
        <v>44483</v>
      </c>
      <c r="E97" s="1" t="n">
        <v>46222</v>
      </c>
      <c r="F97" t="inlineStr">
        <is>
          <t>ÖREBRO LÄN</t>
        </is>
      </c>
      <c r="G97" t="inlineStr">
        <is>
          <t>LAXÅ</t>
        </is>
      </c>
      <c r="H97" t="inlineStr">
        <is>
          <t>Sveaskog</t>
        </is>
      </c>
      <c r="I97" t="n">
        <v>0.9</v>
      </c>
      <c r="J97" t="n">
        <v>0</v>
      </c>
      <c r="K97" t="n">
        <v>0</v>
      </c>
      <c r="L97" t="n">
        <v>0</v>
      </c>
      <c r="M97" t="n">
        <v>0</v>
      </c>
      <c r="N97" t="n">
        <v>0</v>
      </c>
      <c r="O97" t="n">
        <v>0</v>
      </c>
      <c r="P97" t="n">
        <v>0</v>
      </c>
      <c r="Q97" t="n">
        <v>0</v>
      </c>
      <c r="R97" t="n">
        <v>0</v>
      </c>
      <c r="S97" t="n">
        <v>0</v>
      </c>
      <c r="T97" t="n">
        <v>0</v>
      </c>
      <c r="U97" s="2" t="inlineStr"/>
    </row>
    <row r="98" ht="15" customHeight="1">
      <c r="A98" t="inlineStr">
        <is>
          <t>A 1662-2024</t>
        </is>
      </c>
      <c r="B98" t="inlineStr">
        <is>
          <t>avverkningsanmälan</t>
        </is>
      </c>
      <c r="C98" t="inlineStr">
        <is>
          <t>Föryngringsavverkning</t>
        </is>
      </c>
      <c r="D98" s="1" t="n">
        <v>45306</v>
      </c>
      <c r="E98" s="1" t="n">
        <v>46222</v>
      </c>
      <c r="F98" t="inlineStr">
        <is>
          <t>ÖREBRO LÄN</t>
        </is>
      </c>
      <c r="G98" t="inlineStr">
        <is>
          <t>LAXÅ</t>
        </is>
      </c>
      <c r="I98" t="n">
        <v>0.5</v>
      </c>
      <c r="J98" t="n">
        <v>0</v>
      </c>
      <c r="K98" t="n">
        <v>0</v>
      </c>
      <c r="L98" t="n">
        <v>0</v>
      </c>
      <c r="M98" t="n">
        <v>0</v>
      </c>
      <c r="N98" t="n">
        <v>0</v>
      </c>
      <c r="O98" t="n">
        <v>0</v>
      </c>
      <c r="P98" t="n">
        <v>0</v>
      </c>
      <c r="Q98" t="n">
        <v>0</v>
      </c>
      <c r="R98" t="n">
        <v>0</v>
      </c>
      <c r="S98" t="n">
        <v>0</v>
      </c>
      <c r="T98" t="n">
        <v>0</v>
      </c>
      <c r="U98" s="2" t="inlineStr"/>
    </row>
    <row r="99" ht="15" customHeight="1">
      <c r="A99" t="inlineStr">
        <is>
          <t>A 55212-2021</t>
        </is>
      </c>
      <c r="B99" t="inlineStr">
        <is>
          <t>avverkningsanmälan</t>
        </is>
      </c>
      <c r="C99" t="inlineStr">
        <is>
          <t>Föryngringsavverkning</t>
        </is>
      </c>
      <c r="D99" s="1" t="n">
        <v>44475</v>
      </c>
      <c r="E99" s="1" t="n">
        <v>46222</v>
      </c>
      <c r="F99" t="inlineStr">
        <is>
          <t>ÖREBRO LÄN</t>
        </is>
      </c>
      <c r="G99" t="inlineStr">
        <is>
          <t>LAXÅ</t>
        </is>
      </c>
      <c r="H99" t="inlineStr">
        <is>
          <t>Sveaskog</t>
        </is>
      </c>
      <c r="I99" t="n">
        <v>3.3</v>
      </c>
      <c r="J99" t="n">
        <v>0</v>
      </c>
      <c r="K99" t="n">
        <v>0</v>
      </c>
      <c r="L99" t="n">
        <v>0</v>
      </c>
      <c r="M99" t="n">
        <v>0</v>
      </c>
      <c r="N99" t="n">
        <v>0</v>
      </c>
      <c r="O99" t="n">
        <v>0</v>
      </c>
      <c r="P99" t="n">
        <v>0</v>
      </c>
      <c r="Q99" t="n">
        <v>0</v>
      </c>
      <c r="R99" t="n">
        <v>0</v>
      </c>
      <c r="S99" t="n">
        <v>0</v>
      </c>
      <c r="T99" t="n">
        <v>0</v>
      </c>
      <c r="U99" s="2" t="inlineStr"/>
    </row>
    <row r="100" ht="15" customHeight="1">
      <c r="A100" t="inlineStr">
        <is>
          <t>A 55214-2021</t>
        </is>
      </c>
      <c r="B100" t="inlineStr">
        <is>
          <t>avverkningsanmälan</t>
        </is>
      </c>
      <c r="C100" t="inlineStr">
        <is>
          <t>Föryngringsavverkning</t>
        </is>
      </c>
      <c r="D100" s="1" t="n">
        <v>44475</v>
      </c>
      <c r="E100" s="1" t="n">
        <v>46222</v>
      </c>
      <c r="F100" t="inlineStr">
        <is>
          <t>ÖREBRO LÄN</t>
        </is>
      </c>
      <c r="G100" t="inlineStr">
        <is>
          <t>LAXÅ</t>
        </is>
      </c>
      <c r="H100" t="inlineStr">
        <is>
          <t>Sveaskog</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43796-2021</t>
        </is>
      </c>
      <c r="B101" t="inlineStr">
        <is>
          <t>avverkningsanmälan</t>
        </is>
      </c>
      <c r="C101" t="inlineStr">
        <is>
          <t>Föryngringsavverkning</t>
        </is>
      </c>
      <c r="D101" s="1" t="n">
        <v>44433</v>
      </c>
      <c r="E101" s="1" t="n">
        <v>46222</v>
      </c>
      <c r="F101" t="inlineStr">
        <is>
          <t>ÖREBRO LÄN</t>
        </is>
      </c>
      <c r="G101" t="inlineStr">
        <is>
          <t>LAXÅ</t>
        </is>
      </c>
      <c r="H101" t="inlineStr">
        <is>
          <t>Sveaskog</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51714-2022</t>
        </is>
      </c>
      <c r="B102" t="inlineStr">
        <is>
          <t>avverkningsanmälan</t>
        </is>
      </c>
      <c r="C102" t="inlineStr">
        <is>
          <t>Föryngringsavverkning</t>
        </is>
      </c>
      <c r="D102" s="1" t="n">
        <v>44872</v>
      </c>
      <c r="E102" s="1" t="n">
        <v>46222</v>
      </c>
      <c r="F102" t="inlineStr">
        <is>
          <t>ÖREBRO LÄN</t>
        </is>
      </c>
      <c r="G102" t="inlineStr">
        <is>
          <t>LAXÅ</t>
        </is>
      </c>
      <c r="H102" t="inlineStr">
        <is>
          <t>Sveaskog</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22797-2024</t>
        </is>
      </c>
      <c r="B103" t="inlineStr">
        <is>
          <t>avverkningsanmälan</t>
        </is>
      </c>
      <c r="C103" t="inlineStr">
        <is>
          <t>Föryngringsavverkning</t>
        </is>
      </c>
      <c r="D103" s="1" t="n">
        <v>45448</v>
      </c>
      <c r="E103" s="1" t="n">
        <v>46222</v>
      </c>
      <c r="F103" t="inlineStr">
        <is>
          <t>ÖREBRO LÄN</t>
        </is>
      </c>
      <c r="G103" t="inlineStr">
        <is>
          <t>LAXÅ</t>
        </is>
      </c>
      <c r="H103" t="inlineStr">
        <is>
          <t>Övriga statliga verk och myndigheter</t>
        </is>
      </c>
      <c r="I103" t="n">
        <v>2.4</v>
      </c>
      <c r="J103" t="n">
        <v>0</v>
      </c>
      <c r="K103" t="n">
        <v>0</v>
      </c>
      <c r="L103" t="n">
        <v>0</v>
      </c>
      <c r="M103" t="n">
        <v>0</v>
      </c>
      <c r="N103" t="n">
        <v>0</v>
      </c>
      <c r="O103" t="n">
        <v>0</v>
      </c>
      <c r="P103" t="n">
        <v>0</v>
      </c>
      <c r="Q103" t="n">
        <v>0</v>
      </c>
      <c r="R103" t="n">
        <v>0</v>
      </c>
      <c r="S103" t="n">
        <v>0</v>
      </c>
      <c r="T103" t="n">
        <v>0</v>
      </c>
      <c r="U103" s="2" t="inlineStr"/>
    </row>
    <row r="104" ht="15" customHeight="1">
      <c r="A104" t="inlineStr">
        <is>
          <t>A 36553-2024</t>
        </is>
      </c>
      <c r="B104" t="inlineStr">
        <is>
          <t>avverkningsanmälan</t>
        </is>
      </c>
      <c r="C104" t="inlineStr">
        <is>
          <t>Föryngringsavverkning</t>
        </is>
      </c>
      <c r="D104" s="1" t="n">
        <v>45537</v>
      </c>
      <c r="E104" s="1" t="n">
        <v>46222</v>
      </c>
      <c r="F104" t="inlineStr">
        <is>
          <t>ÖREBRO LÄN</t>
        </is>
      </c>
      <c r="G104" t="inlineStr">
        <is>
          <t>LAXÅ</t>
        </is>
      </c>
      <c r="H104" t="inlineStr">
        <is>
          <t>Sveaskog</t>
        </is>
      </c>
      <c r="I104" t="n">
        <v>2.3</v>
      </c>
      <c r="J104" t="n">
        <v>0</v>
      </c>
      <c r="K104" t="n">
        <v>0</v>
      </c>
      <c r="L104" t="n">
        <v>0</v>
      </c>
      <c r="M104" t="n">
        <v>0</v>
      </c>
      <c r="N104" t="n">
        <v>0</v>
      </c>
      <c r="O104" t="n">
        <v>0</v>
      </c>
      <c r="P104" t="n">
        <v>0</v>
      </c>
      <c r="Q104" t="n">
        <v>0</v>
      </c>
      <c r="R104" t="n">
        <v>0</v>
      </c>
      <c r="S104" t="n">
        <v>0</v>
      </c>
      <c r="T104" t="n">
        <v>0</v>
      </c>
      <c r="U104" s="2" t="inlineStr"/>
    </row>
    <row r="105" ht="15" customHeight="1">
      <c r="A105" t="inlineStr">
        <is>
          <t>A 13888-2024</t>
        </is>
      </c>
      <c r="B105" t="inlineStr">
        <is>
          <t>avverkningsanmälan</t>
        </is>
      </c>
      <c r="C105" t="inlineStr">
        <is>
          <t>Föryngringsavverkning</t>
        </is>
      </c>
      <c r="D105" s="1" t="n">
        <v>45391</v>
      </c>
      <c r="E105" s="1" t="n">
        <v>46222</v>
      </c>
      <c r="F105" t="inlineStr">
        <is>
          <t>ÖREBRO LÄN</t>
        </is>
      </c>
      <c r="G105" t="inlineStr">
        <is>
          <t>LAXÅ</t>
        </is>
      </c>
      <c r="I105" t="n">
        <v>3.5</v>
      </c>
      <c r="J105" t="n">
        <v>0</v>
      </c>
      <c r="K105" t="n">
        <v>0</v>
      </c>
      <c r="L105" t="n">
        <v>0</v>
      </c>
      <c r="M105" t="n">
        <v>0</v>
      </c>
      <c r="N105" t="n">
        <v>0</v>
      </c>
      <c r="O105" t="n">
        <v>0</v>
      </c>
      <c r="P105" t="n">
        <v>0</v>
      </c>
      <c r="Q105" t="n">
        <v>0</v>
      </c>
      <c r="R105" t="n">
        <v>0</v>
      </c>
      <c r="S105" t="n">
        <v>0</v>
      </c>
      <c r="T105" t="n">
        <v>0</v>
      </c>
      <c r="U105" s="2" t="inlineStr"/>
    </row>
    <row r="106" ht="15" customHeight="1">
      <c r="A106" t="inlineStr">
        <is>
          <t>A 12430-2023</t>
        </is>
      </c>
      <c r="B106" t="inlineStr">
        <is>
          <t>avverkningsanmälan</t>
        </is>
      </c>
      <c r="C106" t="inlineStr">
        <is>
          <t>Föryngringsavverkning</t>
        </is>
      </c>
      <c r="D106" s="1" t="n">
        <v>44998</v>
      </c>
      <c r="E106" s="1" t="n">
        <v>46222</v>
      </c>
      <c r="F106" t="inlineStr">
        <is>
          <t>ÖREBRO LÄN</t>
        </is>
      </c>
      <c r="G106" t="inlineStr">
        <is>
          <t>LAXÅ</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56555-2024</t>
        </is>
      </c>
      <c r="B107" t="inlineStr">
        <is>
          <t>avverkningsanmälan</t>
        </is>
      </c>
      <c r="C107" t="inlineStr">
        <is>
          <t>Föryngringsavverkning</t>
        </is>
      </c>
      <c r="D107" s="1" t="n">
        <v>45625</v>
      </c>
      <c r="E107" s="1" t="n">
        <v>46222</v>
      </c>
      <c r="F107" t="inlineStr">
        <is>
          <t>ÖREBRO LÄN</t>
        </is>
      </c>
      <c r="G107" t="inlineStr">
        <is>
          <t>LAXÅ</t>
        </is>
      </c>
      <c r="I107" t="n">
        <v>5.4</v>
      </c>
      <c r="J107" t="n">
        <v>0</v>
      </c>
      <c r="K107" t="n">
        <v>0</v>
      </c>
      <c r="L107" t="n">
        <v>0</v>
      </c>
      <c r="M107" t="n">
        <v>0</v>
      </c>
      <c r="N107" t="n">
        <v>0</v>
      </c>
      <c r="O107" t="n">
        <v>0</v>
      </c>
      <c r="P107" t="n">
        <v>0</v>
      </c>
      <c r="Q107" t="n">
        <v>0</v>
      </c>
      <c r="R107" t="n">
        <v>0</v>
      </c>
      <c r="S107" t="n">
        <v>0</v>
      </c>
      <c r="T107" t="n">
        <v>0</v>
      </c>
      <c r="U107" s="2" t="inlineStr"/>
    </row>
    <row r="108" ht="15" customHeight="1">
      <c r="A108" t="inlineStr">
        <is>
          <t>A 28566-2025</t>
        </is>
      </c>
      <c r="B108" t="inlineStr">
        <is>
          <t>avverkningsanmälan</t>
        </is>
      </c>
      <c r="C108" t="inlineStr">
        <is>
          <t>Föryngringsavverkning</t>
        </is>
      </c>
      <c r="D108" s="1" t="n">
        <v>45819</v>
      </c>
      <c r="E108" s="1" t="n">
        <v>46222</v>
      </c>
      <c r="F108" t="inlineStr">
        <is>
          <t>ÖREBRO LÄN</t>
        </is>
      </c>
      <c r="G108" t="inlineStr">
        <is>
          <t>LAXÅ</t>
        </is>
      </c>
      <c r="I108" t="n">
        <v>3.1</v>
      </c>
      <c r="J108" t="n">
        <v>0</v>
      </c>
      <c r="K108" t="n">
        <v>0</v>
      </c>
      <c r="L108" t="n">
        <v>0</v>
      </c>
      <c r="M108" t="n">
        <v>0</v>
      </c>
      <c r="N108" t="n">
        <v>0</v>
      </c>
      <c r="O108" t="n">
        <v>0</v>
      </c>
      <c r="P108" t="n">
        <v>0</v>
      </c>
      <c r="Q108" t="n">
        <v>0</v>
      </c>
      <c r="R108" t="n">
        <v>0</v>
      </c>
      <c r="S108" t="n">
        <v>0</v>
      </c>
      <c r="T108" t="n">
        <v>0</v>
      </c>
      <c r="U108" s="2" t="inlineStr"/>
    </row>
    <row r="109" ht="15" customHeight="1">
      <c r="A109" t="inlineStr">
        <is>
          <t>A 6902-2025</t>
        </is>
      </c>
      <c r="B109" t="inlineStr">
        <is>
          <t>avverkningsanmälan</t>
        </is>
      </c>
      <c r="C109" t="inlineStr">
        <is>
          <t>Föryngringsavverkning</t>
        </is>
      </c>
      <c r="D109" s="1" t="n">
        <v>45701</v>
      </c>
      <c r="E109" s="1" t="n">
        <v>46222</v>
      </c>
      <c r="F109" t="inlineStr">
        <is>
          <t>ÖREBRO LÄN</t>
        </is>
      </c>
      <c r="G109" t="inlineStr">
        <is>
          <t>LAXÅ</t>
        </is>
      </c>
      <c r="H109" t="inlineStr">
        <is>
          <t>Sveaskog</t>
        </is>
      </c>
      <c r="I109" t="n">
        <v>4.9</v>
      </c>
      <c r="J109" t="n">
        <v>0</v>
      </c>
      <c r="K109" t="n">
        <v>0</v>
      </c>
      <c r="L109" t="n">
        <v>0</v>
      </c>
      <c r="M109" t="n">
        <v>0</v>
      </c>
      <c r="N109" t="n">
        <v>0</v>
      </c>
      <c r="O109" t="n">
        <v>0</v>
      </c>
      <c r="P109" t="n">
        <v>0</v>
      </c>
      <c r="Q109" t="n">
        <v>0</v>
      </c>
      <c r="R109" t="n">
        <v>0</v>
      </c>
      <c r="S109" t="n">
        <v>0</v>
      </c>
      <c r="T109" t="n">
        <v>0</v>
      </c>
      <c r="U109" s="2" t="inlineStr"/>
    </row>
    <row r="110" ht="15" customHeight="1">
      <c r="A110" t="inlineStr">
        <is>
          <t>A 5414-2026</t>
        </is>
      </c>
      <c r="B110" t="inlineStr">
        <is>
          <t>avverkningsanmälan</t>
        </is>
      </c>
      <c r="C110" t="inlineStr">
        <is>
          <t>Föryngringsavverkning</t>
        </is>
      </c>
      <c r="D110" s="1" t="n">
        <v>46048</v>
      </c>
      <c r="E110" s="1" t="n">
        <v>46222</v>
      </c>
      <c r="F110" t="inlineStr">
        <is>
          <t>ÖREBRO LÄN</t>
        </is>
      </c>
      <c r="G110" t="inlineStr">
        <is>
          <t>LAXÅ</t>
        </is>
      </c>
      <c r="I110" t="n">
        <v>2.9</v>
      </c>
      <c r="J110" t="n">
        <v>0</v>
      </c>
      <c r="K110" t="n">
        <v>0</v>
      </c>
      <c r="L110" t="n">
        <v>0</v>
      </c>
      <c r="M110" t="n">
        <v>0</v>
      </c>
      <c r="N110" t="n">
        <v>0</v>
      </c>
      <c r="O110" t="n">
        <v>0</v>
      </c>
      <c r="P110" t="n">
        <v>0</v>
      </c>
      <c r="Q110" t="n">
        <v>0</v>
      </c>
      <c r="R110" t="n">
        <v>0</v>
      </c>
      <c r="S110" t="n">
        <v>0</v>
      </c>
      <c r="T110" t="n">
        <v>0</v>
      </c>
      <c r="U110" s="2" t="inlineStr"/>
    </row>
    <row r="111" ht="15" customHeight="1">
      <c r="A111" t="inlineStr">
        <is>
          <t>A 29087-2025</t>
        </is>
      </c>
      <c r="B111" t="inlineStr">
        <is>
          <t>avverkningsanmälan</t>
        </is>
      </c>
      <c r="C111" t="inlineStr">
        <is>
          <t>Föryngringsavverkning</t>
        </is>
      </c>
      <c r="D111" s="1" t="n">
        <v>45821</v>
      </c>
      <c r="E111" s="1" t="n">
        <v>46222</v>
      </c>
      <c r="F111" t="inlineStr">
        <is>
          <t>ÖREBRO LÄN</t>
        </is>
      </c>
      <c r="G111" t="inlineStr">
        <is>
          <t>LAXÅ</t>
        </is>
      </c>
      <c r="H111" t="inlineStr">
        <is>
          <t>Sveaskog</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29089-2025</t>
        </is>
      </c>
      <c r="B112" t="inlineStr">
        <is>
          <t>avverkningsanmälan</t>
        </is>
      </c>
      <c r="C112" t="inlineStr">
        <is>
          <t>Föryngringsavverkning</t>
        </is>
      </c>
      <c r="D112" s="1" t="n">
        <v>45821</v>
      </c>
      <c r="E112" s="1" t="n">
        <v>46222</v>
      </c>
      <c r="F112" t="inlineStr">
        <is>
          <t>ÖREBRO LÄN</t>
        </is>
      </c>
      <c r="G112" t="inlineStr">
        <is>
          <t>LAXÅ</t>
        </is>
      </c>
      <c r="H112" t="inlineStr">
        <is>
          <t>Sveaskog</t>
        </is>
      </c>
      <c r="I112" t="n">
        <v>0.2</v>
      </c>
      <c r="J112" t="n">
        <v>0</v>
      </c>
      <c r="K112" t="n">
        <v>0</v>
      </c>
      <c r="L112" t="n">
        <v>0</v>
      </c>
      <c r="M112" t="n">
        <v>0</v>
      </c>
      <c r="N112" t="n">
        <v>0</v>
      </c>
      <c r="O112" t="n">
        <v>0</v>
      </c>
      <c r="P112" t="n">
        <v>0</v>
      </c>
      <c r="Q112" t="n">
        <v>0</v>
      </c>
      <c r="R112" t="n">
        <v>0</v>
      </c>
      <c r="S112" t="n">
        <v>0</v>
      </c>
      <c r="T112" t="n">
        <v>0</v>
      </c>
      <c r="U112" s="2" t="inlineStr"/>
    </row>
    <row r="113" ht="15" customHeight="1">
      <c r="A113" t="inlineStr">
        <is>
          <t>A 4417-2026</t>
        </is>
      </c>
      <c r="B113" t="inlineStr">
        <is>
          <t>avverkningsanmälan</t>
        </is>
      </c>
      <c r="C113" t="inlineStr">
        <is>
          <t>Föryngringsavverkning</t>
        </is>
      </c>
      <c r="D113" s="1" t="n">
        <v>46045</v>
      </c>
      <c r="E113" s="1" t="n">
        <v>46222</v>
      </c>
      <c r="F113" t="inlineStr">
        <is>
          <t>ÖREBRO LÄN</t>
        </is>
      </c>
      <c r="G113" t="inlineStr">
        <is>
          <t>LAXÅ</t>
        </is>
      </c>
      <c r="I113" t="n">
        <v>1.9</v>
      </c>
      <c r="J113" t="n">
        <v>0</v>
      </c>
      <c r="K113" t="n">
        <v>0</v>
      </c>
      <c r="L113" t="n">
        <v>0</v>
      </c>
      <c r="M113" t="n">
        <v>0</v>
      </c>
      <c r="N113" t="n">
        <v>0</v>
      </c>
      <c r="O113" t="n">
        <v>0</v>
      </c>
      <c r="P113" t="n">
        <v>0</v>
      </c>
      <c r="Q113" t="n">
        <v>0</v>
      </c>
      <c r="R113" t="n">
        <v>0</v>
      </c>
      <c r="S113" t="n">
        <v>0</v>
      </c>
      <c r="T113" t="n">
        <v>0</v>
      </c>
      <c r="U113" s="2" t="inlineStr"/>
    </row>
    <row r="114" ht="15" customHeight="1">
      <c r="A114" t="inlineStr">
        <is>
          <t>A 29090-2025</t>
        </is>
      </c>
      <c r="B114" t="inlineStr">
        <is>
          <t>avverkningsanmälan</t>
        </is>
      </c>
      <c r="C114" t="inlineStr">
        <is>
          <t>Avverkning för att bevara och utveckla /försöksver</t>
        </is>
      </c>
      <c r="D114" s="1" t="n">
        <v>45821</v>
      </c>
      <c r="E114" s="1" t="n">
        <v>46222</v>
      </c>
      <c r="F114" t="inlineStr">
        <is>
          <t>ÖREBRO LÄN</t>
        </is>
      </c>
      <c r="G114" t="inlineStr">
        <is>
          <t>LAXÅ</t>
        </is>
      </c>
      <c r="H114" t="inlineStr">
        <is>
          <t>Sveaskog</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28415-2025</t>
        </is>
      </c>
      <c r="B115" t="inlineStr">
        <is>
          <t>avverkningsanmälan</t>
        </is>
      </c>
      <c r="C115" t="inlineStr">
        <is>
          <t>Föryngringsavverkning</t>
        </is>
      </c>
      <c r="D115" s="1" t="n">
        <v>45819</v>
      </c>
      <c r="E115" s="1" t="n">
        <v>46222</v>
      </c>
      <c r="F115" t="inlineStr">
        <is>
          <t>ÖREBRO LÄN</t>
        </is>
      </c>
      <c r="G115" t="inlineStr">
        <is>
          <t>LAXÅ</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6294-2024</t>
        </is>
      </c>
      <c r="B116" t="inlineStr">
        <is>
          <t>avverkningsanmälan</t>
        </is>
      </c>
      <c r="C116" t="inlineStr">
        <is>
          <t>Föryngringsavverkning</t>
        </is>
      </c>
      <c r="D116" s="1" t="n">
        <v>45338</v>
      </c>
      <c r="E116" s="1" t="n">
        <v>46222</v>
      </c>
      <c r="F116" t="inlineStr">
        <is>
          <t>ÖREBRO LÄN</t>
        </is>
      </c>
      <c r="G116" t="inlineStr">
        <is>
          <t>LAXÅ</t>
        </is>
      </c>
      <c r="I116" t="n">
        <v>0.3</v>
      </c>
      <c r="J116" t="n">
        <v>0</v>
      </c>
      <c r="K116" t="n">
        <v>0</v>
      </c>
      <c r="L116" t="n">
        <v>0</v>
      </c>
      <c r="M116" t="n">
        <v>0</v>
      </c>
      <c r="N116" t="n">
        <v>0</v>
      </c>
      <c r="O116" t="n">
        <v>0</v>
      </c>
      <c r="P116" t="n">
        <v>0</v>
      </c>
      <c r="Q116" t="n">
        <v>0</v>
      </c>
      <c r="R116" t="n">
        <v>0</v>
      </c>
      <c r="S116" t="n">
        <v>0</v>
      </c>
      <c r="T116" t="n">
        <v>0</v>
      </c>
      <c r="U116" s="2" t="inlineStr"/>
    </row>
    <row r="117" ht="15" customHeight="1">
      <c r="A117" t="inlineStr">
        <is>
          <t>A 40668-2025</t>
        </is>
      </c>
      <c r="B117" t="inlineStr">
        <is>
          <t>avverkningsanmälan</t>
        </is>
      </c>
      <c r="C117" t="inlineStr">
        <is>
          <t>Föryngringsavverkning</t>
        </is>
      </c>
      <c r="D117" s="1" t="n">
        <v>45896</v>
      </c>
      <c r="E117" s="1" t="n">
        <v>46222</v>
      </c>
      <c r="F117" t="inlineStr">
        <is>
          <t>ÖREBRO LÄN</t>
        </is>
      </c>
      <c r="G117" t="inlineStr">
        <is>
          <t>LAXÅ</t>
        </is>
      </c>
      <c r="I117" t="n">
        <v>1.4</v>
      </c>
      <c r="J117" t="n">
        <v>0</v>
      </c>
      <c r="K117" t="n">
        <v>0</v>
      </c>
      <c r="L117" t="n">
        <v>0</v>
      </c>
      <c r="M117" t="n">
        <v>0</v>
      </c>
      <c r="N117" t="n">
        <v>0</v>
      </c>
      <c r="O117" t="n">
        <v>0</v>
      </c>
      <c r="P117" t="n">
        <v>0</v>
      </c>
      <c r="Q117" t="n">
        <v>0</v>
      </c>
      <c r="R117" t="n">
        <v>0</v>
      </c>
      <c r="S117" t="n">
        <v>0</v>
      </c>
      <c r="T117" t="n">
        <v>0</v>
      </c>
      <c r="U117" s="2" t="inlineStr"/>
    </row>
    <row r="118" ht="15" customHeight="1">
      <c r="A118" t="inlineStr">
        <is>
          <t>A 5421-2026</t>
        </is>
      </c>
      <c r="B118" t="inlineStr">
        <is>
          <t>avverkningsanmälan</t>
        </is>
      </c>
      <c r="C118" t="inlineStr">
        <is>
          <t>Föryngringsavverkning</t>
        </is>
      </c>
      <c r="D118" s="1" t="n">
        <v>46048</v>
      </c>
      <c r="E118" s="1" t="n">
        <v>46222</v>
      </c>
      <c r="F118" t="inlineStr">
        <is>
          <t>ÖREBRO LÄN</t>
        </is>
      </c>
      <c r="G118" t="inlineStr">
        <is>
          <t>LAXÅ</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30334-2025</t>
        </is>
      </c>
      <c r="B119" t="inlineStr">
        <is>
          <t>avverkningsanmälan</t>
        </is>
      </c>
      <c r="C119" t="inlineStr">
        <is>
          <t>Föryngringsavverkning</t>
        </is>
      </c>
      <c r="D119" s="1" t="n">
        <v>45827</v>
      </c>
      <c r="E119" s="1" t="n">
        <v>46222</v>
      </c>
      <c r="F119" t="inlineStr">
        <is>
          <t>ÖREBRO LÄN</t>
        </is>
      </c>
      <c r="G119" t="inlineStr">
        <is>
          <t>LAXÅ</t>
        </is>
      </c>
      <c r="H119" t="inlineStr">
        <is>
          <t>Sveaskog</t>
        </is>
      </c>
      <c r="I119" t="n">
        <v>3.2</v>
      </c>
      <c r="J119" t="n">
        <v>0</v>
      </c>
      <c r="K119" t="n">
        <v>0</v>
      </c>
      <c r="L119" t="n">
        <v>0</v>
      </c>
      <c r="M119" t="n">
        <v>0</v>
      </c>
      <c r="N119" t="n">
        <v>0</v>
      </c>
      <c r="O119" t="n">
        <v>0</v>
      </c>
      <c r="P119" t="n">
        <v>0</v>
      </c>
      <c r="Q119" t="n">
        <v>0</v>
      </c>
      <c r="R119" t="n">
        <v>0</v>
      </c>
      <c r="S119" t="n">
        <v>0</v>
      </c>
      <c r="T119" t="n">
        <v>0</v>
      </c>
      <c r="U119" s="2" t="inlineStr"/>
    </row>
    <row r="120" ht="15" customHeight="1">
      <c r="A120" t="inlineStr">
        <is>
          <t>A 30384-2025</t>
        </is>
      </c>
      <c r="B120" t="inlineStr">
        <is>
          <t>avverkningsanmälan</t>
        </is>
      </c>
      <c r="C120" t="inlineStr">
        <is>
          <t>Föryngringsavverkning</t>
        </is>
      </c>
      <c r="D120" s="1" t="n">
        <v>45827</v>
      </c>
      <c r="E120" s="1" t="n">
        <v>46222</v>
      </c>
      <c r="F120" t="inlineStr">
        <is>
          <t>ÖREBRO LÄN</t>
        </is>
      </c>
      <c r="G120" t="inlineStr">
        <is>
          <t>LAXÅ</t>
        </is>
      </c>
      <c r="H120" t="inlineStr">
        <is>
          <t>Sveaskog</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42549-2025</t>
        </is>
      </c>
      <c r="B121" t="inlineStr">
        <is>
          <t>avverkningsanmälan</t>
        </is>
      </c>
      <c r="C121" t="inlineStr">
        <is>
          <t>Föryngringsavverkning</t>
        </is>
      </c>
      <c r="D121" s="1" t="n">
        <v>45905</v>
      </c>
      <c r="E121" s="1" t="n">
        <v>46222</v>
      </c>
      <c r="F121" t="inlineStr">
        <is>
          <t>ÖREBRO LÄN</t>
        </is>
      </c>
      <c r="G121" t="inlineStr">
        <is>
          <t>LAXÅ</t>
        </is>
      </c>
      <c r="H121" t="inlineStr">
        <is>
          <t>Sveaskog</t>
        </is>
      </c>
      <c r="I121" t="n">
        <v>8.300000000000001</v>
      </c>
      <c r="J121" t="n">
        <v>0</v>
      </c>
      <c r="K121" t="n">
        <v>0</v>
      </c>
      <c r="L121" t="n">
        <v>0</v>
      </c>
      <c r="M121" t="n">
        <v>0</v>
      </c>
      <c r="N121" t="n">
        <v>0</v>
      </c>
      <c r="O121" t="n">
        <v>0</v>
      </c>
      <c r="P121" t="n">
        <v>0</v>
      </c>
      <c r="Q121" t="n">
        <v>0</v>
      </c>
      <c r="R121" t="n">
        <v>0</v>
      </c>
      <c r="S121" t="n">
        <v>0</v>
      </c>
      <c r="T121" t="n">
        <v>0</v>
      </c>
      <c r="U121" s="2" t="inlineStr"/>
    </row>
    <row r="122" ht="15" customHeight="1">
      <c r="A122" t="inlineStr">
        <is>
          <t>A 12063-2024</t>
        </is>
      </c>
      <c r="B122" t="inlineStr">
        <is>
          <t>avverkningsanmälan</t>
        </is>
      </c>
      <c r="C122" t="inlineStr">
        <is>
          <t>Föryngringsavverkning</t>
        </is>
      </c>
      <c r="D122" s="1" t="n">
        <v>45377</v>
      </c>
      <c r="E122" s="1" t="n">
        <v>46222</v>
      </c>
      <c r="F122" t="inlineStr">
        <is>
          <t>ÖREBRO LÄN</t>
        </is>
      </c>
      <c r="G122" t="inlineStr">
        <is>
          <t>LAXÅ</t>
        </is>
      </c>
      <c r="H122" t="inlineStr">
        <is>
          <t>Sveaskog</t>
        </is>
      </c>
      <c r="I122" t="n">
        <v>2</v>
      </c>
      <c r="J122" t="n">
        <v>0</v>
      </c>
      <c r="K122" t="n">
        <v>0</v>
      </c>
      <c r="L122" t="n">
        <v>0</v>
      </c>
      <c r="M122" t="n">
        <v>0</v>
      </c>
      <c r="N122" t="n">
        <v>0</v>
      </c>
      <c r="O122" t="n">
        <v>0</v>
      </c>
      <c r="P122" t="n">
        <v>0</v>
      </c>
      <c r="Q122" t="n">
        <v>0</v>
      </c>
      <c r="R122" t="n">
        <v>0</v>
      </c>
      <c r="S122" t="n">
        <v>0</v>
      </c>
      <c r="T122" t="n">
        <v>0</v>
      </c>
      <c r="U122" s="2" t="inlineStr"/>
    </row>
    <row r="123" ht="15" customHeight="1">
      <c r="A123" t="inlineStr">
        <is>
          <t>A 42551-2025</t>
        </is>
      </c>
      <c r="B123" t="inlineStr">
        <is>
          <t>avverkningsanmälan</t>
        </is>
      </c>
      <c r="C123" t="inlineStr">
        <is>
          <t>Föryngringsavverkning</t>
        </is>
      </c>
      <c r="D123" s="1" t="n">
        <v>45905</v>
      </c>
      <c r="E123" s="1" t="n">
        <v>46222</v>
      </c>
      <c r="F123" t="inlineStr">
        <is>
          <t>ÖREBRO LÄN</t>
        </is>
      </c>
      <c r="G123" t="inlineStr">
        <is>
          <t>LAXÅ</t>
        </is>
      </c>
      <c r="H123" t="inlineStr">
        <is>
          <t>Sveaskog</t>
        </is>
      </c>
      <c r="I123" t="n">
        <v>10.1</v>
      </c>
      <c r="J123" t="n">
        <v>0</v>
      </c>
      <c r="K123" t="n">
        <v>0</v>
      </c>
      <c r="L123" t="n">
        <v>0</v>
      </c>
      <c r="M123" t="n">
        <v>0</v>
      </c>
      <c r="N123" t="n">
        <v>0</v>
      </c>
      <c r="O123" t="n">
        <v>0</v>
      </c>
      <c r="P123" t="n">
        <v>0</v>
      </c>
      <c r="Q123" t="n">
        <v>0</v>
      </c>
      <c r="R123" t="n">
        <v>0</v>
      </c>
      <c r="S123" t="n">
        <v>0</v>
      </c>
      <c r="T123" t="n">
        <v>0</v>
      </c>
      <c r="U123" s="2" t="inlineStr"/>
    </row>
    <row r="124" ht="15" customHeight="1">
      <c r="A124" t="inlineStr">
        <is>
          <t>A 42552-2025</t>
        </is>
      </c>
      <c r="B124" t="inlineStr">
        <is>
          <t>avverkningsanmälan</t>
        </is>
      </c>
      <c r="C124" t="inlineStr">
        <is>
          <t>Föryngringsavverkning</t>
        </is>
      </c>
      <c r="D124" s="1" t="n">
        <v>45905</v>
      </c>
      <c r="E124" s="1" t="n">
        <v>46222</v>
      </c>
      <c r="F124" t="inlineStr">
        <is>
          <t>ÖREBRO LÄN</t>
        </is>
      </c>
      <c r="G124" t="inlineStr">
        <is>
          <t>LAXÅ</t>
        </is>
      </c>
      <c r="H124" t="inlineStr">
        <is>
          <t>Sveaskog</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21764-2022</t>
        </is>
      </c>
      <c r="B125" t="inlineStr">
        <is>
          <t>avverkningsanmälan</t>
        </is>
      </c>
      <c r="C125" t="inlineStr">
        <is>
          <t>Föryngringsavverkning</t>
        </is>
      </c>
      <c r="D125" s="1" t="n">
        <v>44708</v>
      </c>
      <c r="E125" s="1" t="n">
        <v>46222</v>
      </c>
      <c r="F125" t="inlineStr">
        <is>
          <t>ÖREBRO LÄN</t>
        </is>
      </c>
      <c r="G125" t="inlineStr">
        <is>
          <t>LAXÅ</t>
        </is>
      </c>
      <c r="I125" t="n">
        <v>2.1</v>
      </c>
      <c r="J125" t="n">
        <v>0</v>
      </c>
      <c r="K125" t="n">
        <v>0</v>
      </c>
      <c r="L125" t="n">
        <v>0</v>
      </c>
      <c r="M125" t="n">
        <v>0</v>
      </c>
      <c r="N125" t="n">
        <v>0</v>
      </c>
      <c r="O125" t="n">
        <v>0</v>
      </c>
      <c r="P125" t="n">
        <v>0</v>
      </c>
      <c r="Q125" t="n">
        <v>0</v>
      </c>
      <c r="R125" t="n">
        <v>0</v>
      </c>
      <c r="S125" t="n">
        <v>0</v>
      </c>
      <c r="T125" t="n">
        <v>0</v>
      </c>
      <c r="U125" s="2" t="inlineStr"/>
    </row>
    <row r="126" ht="15" customHeight="1">
      <c r="A126" t="inlineStr">
        <is>
          <t>A 48849-2023</t>
        </is>
      </c>
      <c r="B126" t="inlineStr">
        <is>
          <t>avverkningsanmälan</t>
        </is>
      </c>
      <c r="C126" t="inlineStr">
        <is>
          <t>Föryngringsavverkning</t>
        </is>
      </c>
      <c r="D126" s="1" t="n">
        <v>45209</v>
      </c>
      <c r="E126" s="1" t="n">
        <v>46222</v>
      </c>
      <c r="F126" t="inlineStr">
        <is>
          <t>ÖREBRO LÄN</t>
        </is>
      </c>
      <c r="G126" t="inlineStr">
        <is>
          <t>LAXÅ</t>
        </is>
      </c>
      <c r="I126" t="n">
        <v>5.5</v>
      </c>
      <c r="J126" t="n">
        <v>0</v>
      </c>
      <c r="K126" t="n">
        <v>0</v>
      </c>
      <c r="L126" t="n">
        <v>0</v>
      </c>
      <c r="M126" t="n">
        <v>0</v>
      </c>
      <c r="N126" t="n">
        <v>0</v>
      </c>
      <c r="O126" t="n">
        <v>0</v>
      </c>
      <c r="P126" t="n">
        <v>0</v>
      </c>
      <c r="Q126" t="n">
        <v>0</v>
      </c>
      <c r="R126" t="n">
        <v>0</v>
      </c>
      <c r="S126" t="n">
        <v>0</v>
      </c>
      <c r="T126" t="n">
        <v>0</v>
      </c>
      <c r="U126" s="2" t="inlineStr"/>
    </row>
    <row r="127" ht="15" customHeight="1">
      <c r="A127" t="inlineStr">
        <is>
          <t>A 49974-2021</t>
        </is>
      </c>
      <c r="B127" t="inlineStr">
        <is>
          <t>avverkningsanmälan</t>
        </is>
      </c>
      <c r="C127" t="inlineStr">
        <is>
          <t>Föryngringsavverkning</t>
        </is>
      </c>
      <c r="D127" s="1" t="n">
        <v>44456</v>
      </c>
      <c r="E127" s="1" t="n">
        <v>46222</v>
      </c>
      <c r="F127" t="inlineStr">
        <is>
          <t>ÖREBRO LÄN</t>
        </is>
      </c>
      <c r="G127" t="inlineStr">
        <is>
          <t>LAXÅ</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33282-2025</t>
        </is>
      </c>
      <c r="B128" t="inlineStr">
        <is>
          <t>avverkningsanmälan</t>
        </is>
      </c>
      <c r="C128" t="inlineStr">
        <is>
          <t>Föryngringsavverkning</t>
        </is>
      </c>
      <c r="D128" s="1" t="n">
        <v>45840</v>
      </c>
      <c r="E128" s="1" t="n">
        <v>46222</v>
      </c>
      <c r="F128" t="inlineStr">
        <is>
          <t>ÖREBRO LÄN</t>
        </is>
      </c>
      <c r="G128" t="inlineStr">
        <is>
          <t>LAXÅ</t>
        </is>
      </c>
      <c r="H128" t="inlineStr">
        <is>
          <t>Allmännings- och besparingsskogar</t>
        </is>
      </c>
      <c r="I128" t="n">
        <v>4.2</v>
      </c>
      <c r="J128" t="n">
        <v>0</v>
      </c>
      <c r="K128" t="n">
        <v>0</v>
      </c>
      <c r="L128" t="n">
        <v>0</v>
      </c>
      <c r="M128" t="n">
        <v>0</v>
      </c>
      <c r="N128" t="n">
        <v>0</v>
      </c>
      <c r="O128" t="n">
        <v>0</v>
      </c>
      <c r="P128" t="n">
        <v>0</v>
      </c>
      <c r="Q128" t="n">
        <v>0</v>
      </c>
      <c r="R128" t="n">
        <v>0</v>
      </c>
      <c r="S128" t="n">
        <v>0</v>
      </c>
      <c r="T128" t="n">
        <v>0</v>
      </c>
      <c r="U128" s="2" t="inlineStr"/>
    </row>
    <row r="129" ht="15" customHeight="1">
      <c r="A129" t="inlineStr">
        <is>
          <t>A 44313-2025</t>
        </is>
      </c>
      <c r="B129" t="inlineStr">
        <is>
          <t>avverkningsanmälan</t>
        </is>
      </c>
      <c r="C129" t="inlineStr">
        <is>
          <t>Föryngringsavverkning</t>
        </is>
      </c>
      <c r="D129" s="1" t="n">
        <v>45915</v>
      </c>
      <c r="E129" s="1" t="n">
        <v>46222</v>
      </c>
      <c r="F129" t="inlineStr">
        <is>
          <t>ÖREBRO LÄN</t>
        </is>
      </c>
      <c r="G129" t="inlineStr">
        <is>
          <t>LAXÅ</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5649-2026</t>
        </is>
      </c>
      <c r="B130" t="inlineStr">
        <is>
          <t>avverkningsanmälan</t>
        </is>
      </c>
      <c r="C130" t="inlineStr">
        <is>
          <t>Avverkning för annat ändamål</t>
        </is>
      </c>
      <c r="D130" s="1" t="n">
        <v>46051</v>
      </c>
      <c r="E130" s="1" t="n">
        <v>46222</v>
      </c>
      <c r="F130" t="inlineStr">
        <is>
          <t>ÖREBRO LÄN</t>
        </is>
      </c>
      <c r="G130" t="inlineStr">
        <is>
          <t>LAXÅ</t>
        </is>
      </c>
      <c r="H130" t="inlineStr">
        <is>
          <t>Sveaskog</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5650-2026</t>
        </is>
      </c>
      <c r="B131" t="inlineStr">
        <is>
          <t>avverkningsanmälan</t>
        </is>
      </c>
      <c r="C131" t="inlineStr">
        <is>
          <t>Avverkning för annat ändamål</t>
        </is>
      </c>
      <c r="D131" s="1" t="n">
        <v>46051</v>
      </c>
      <c r="E131" s="1" t="n">
        <v>46222</v>
      </c>
      <c r="F131" t="inlineStr">
        <is>
          <t>ÖREBRO LÄN</t>
        </is>
      </c>
      <c r="G131" t="inlineStr">
        <is>
          <t>LAXÅ</t>
        </is>
      </c>
      <c r="H131" t="inlineStr">
        <is>
          <t>Sveaskog</t>
        </is>
      </c>
      <c r="I131" t="n">
        <v>1.3</v>
      </c>
      <c r="J131" t="n">
        <v>0</v>
      </c>
      <c r="K131" t="n">
        <v>0</v>
      </c>
      <c r="L131" t="n">
        <v>0</v>
      </c>
      <c r="M131" t="n">
        <v>0</v>
      </c>
      <c r="N131" t="n">
        <v>0</v>
      </c>
      <c r="O131" t="n">
        <v>0</v>
      </c>
      <c r="P131" t="n">
        <v>0</v>
      </c>
      <c r="Q131" t="n">
        <v>0</v>
      </c>
      <c r="R131" t="n">
        <v>0</v>
      </c>
      <c r="S131" t="n">
        <v>0</v>
      </c>
      <c r="T131" t="n">
        <v>0</v>
      </c>
      <c r="U131" s="2" t="inlineStr"/>
    </row>
    <row r="132" ht="15" customHeight="1">
      <c r="A132" t="inlineStr">
        <is>
          <t>A 33561-2025</t>
        </is>
      </c>
      <c r="B132" t="inlineStr">
        <is>
          <t>avverkningsanmälan</t>
        </is>
      </c>
      <c r="C132" t="inlineStr">
        <is>
          <t>Föryngringsavverkning</t>
        </is>
      </c>
      <c r="D132" s="1" t="n">
        <v>45841</v>
      </c>
      <c r="E132" s="1" t="n">
        <v>46222</v>
      </c>
      <c r="F132" t="inlineStr">
        <is>
          <t>ÖREBRO LÄN</t>
        </is>
      </c>
      <c r="G132" t="inlineStr">
        <is>
          <t>LAXÅ</t>
        </is>
      </c>
      <c r="H132" t="inlineStr">
        <is>
          <t>Övriga statliga verk och myndigheter</t>
        </is>
      </c>
      <c r="I132" t="n">
        <v>4</v>
      </c>
      <c r="J132" t="n">
        <v>0</v>
      </c>
      <c r="K132" t="n">
        <v>0</v>
      </c>
      <c r="L132" t="n">
        <v>0</v>
      </c>
      <c r="M132" t="n">
        <v>0</v>
      </c>
      <c r="N132" t="n">
        <v>0</v>
      </c>
      <c r="O132" t="n">
        <v>0</v>
      </c>
      <c r="P132" t="n">
        <v>0</v>
      </c>
      <c r="Q132" t="n">
        <v>0</v>
      </c>
      <c r="R132" t="n">
        <v>0</v>
      </c>
      <c r="S132" t="n">
        <v>0</v>
      </c>
      <c r="T132" t="n">
        <v>0</v>
      </c>
      <c r="U132" s="2" t="inlineStr"/>
    </row>
    <row r="133" ht="15" customHeight="1">
      <c r="A133" t="inlineStr">
        <is>
          <t>A 33572-2025</t>
        </is>
      </c>
      <c r="B133" t="inlineStr">
        <is>
          <t>avverkningsanmälan</t>
        </is>
      </c>
      <c r="C133" t="inlineStr">
        <is>
          <t>Föryngringsavverkning</t>
        </is>
      </c>
      <c r="D133" s="1" t="n">
        <v>45841</v>
      </c>
      <c r="E133" s="1" t="n">
        <v>46222</v>
      </c>
      <c r="F133" t="inlineStr">
        <is>
          <t>ÖREBRO LÄN</t>
        </is>
      </c>
      <c r="G133" t="inlineStr">
        <is>
          <t>LAXÅ</t>
        </is>
      </c>
      <c r="H133" t="inlineStr">
        <is>
          <t>Övriga statliga verk och myndigheter</t>
        </is>
      </c>
      <c r="I133" t="n">
        <v>8.300000000000001</v>
      </c>
      <c r="J133" t="n">
        <v>0</v>
      </c>
      <c r="K133" t="n">
        <v>0</v>
      </c>
      <c r="L133" t="n">
        <v>0</v>
      </c>
      <c r="M133" t="n">
        <v>0</v>
      </c>
      <c r="N133" t="n">
        <v>0</v>
      </c>
      <c r="O133" t="n">
        <v>0</v>
      </c>
      <c r="P133" t="n">
        <v>0</v>
      </c>
      <c r="Q133" t="n">
        <v>0</v>
      </c>
      <c r="R133" t="n">
        <v>0</v>
      </c>
      <c r="S133" t="n">
        <v>0</v>
      </c>
      <c r="T133" t="n">
        <v>0</v>
      </c>
      <c r="U133" s="2" t="inlineStr"/>
    </row>
    <row r="134" ht="15" customHeight="1">
      <c r="A134" t="inlineStr">
        <is>
          <t>A 33576-2025</t>
        </is>
      </c>
      <c r="B134" t="inlineStr">
        <is>
          <t>avverkningsanmälan</t>
        </is>
      </c>
      <c r="C134" t="inlineStr">
        <is>
          <t>Föryngringsavverkning</t>
        </is>
      </c>
      <c r="D134" s="1" t="n">
        <v>45841</v>
      </c>
      <c r="E134" s="1" t="n">
        <v>46222</v>
      </c>
      <c r="F134" t="inlineStr">
        <is>
          <t>ÖREBRO LÄN</t>
        </is>
      </c>
      <c r="G134" t="inlineStr">
        <is>
          <t>LAXÅ</t>
        </is>
      </c>
      <c r="H134" t="inlineStr">
        <is>
          <t>Övriga statliga verk och myndigheter</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33581-2025</t>
        </is>
      </c>
      <c r="B135" t="inlineStr">
        <is>
          <t>avverkningsanmälan</t>
        </is>
      </c>
      <c r="C135" t="inlineStr">
        <is>
          <t>Föryngringsavverkning</t>
        </is>
      </c>
      <c r="D135" s="1" t="n">
        <v>45841</v>
      </c>
      <c r="E135" s="1" t="n">
        <v>46222</v>
      </c>
      <c r="F135" t="inlineStr">
        <is>
          <t>ÖREBRO LÄN</t>
        </is>
      </c>
      <c r="G135" t="inlineStr">
        <is>
          <t>LAXÅ</t>
        </is>
      </c>
      <c r="H135" t="inlineStr">
        <is>
          <t>Övriga statliga verk och myndigheter</t>
        </is>
      </c>
      <c r="I135" t="n">
        <v>2.3</v>
      </c>
      <c r="J135" t="n">
        <v>0</v>
      </c>
      <c r="K135" t="n">
        <v>0</v>
      </c>
      <c r="L135" t="n">
        <v>0</v>
      </c>
      <c r="M135" t="n">
        <v>0</v>
      </c>
      <c r="N135" t="n">
        <v>0</v>
      </c>
      <c r="O135" t="n">
        <v>0</v>
      </c>
      <c r="P135" t="n">
        <v>0</v>
      </c>
      <c r="Q135" t="n">
        <v>0</v>
      </c>
      <c r="R135" t="n">
        <v>0</v>
      </c>
      <c r="S135" t="n">
        <v>0</v>
      </c>
      <c r="T135" t="n">
        <v>0</v>
      </c>
      <c r="U135" s="2" t="inlineStr"/>
    </row>
    <row r="136" ht="15" customHeight="1">
      <c r="A136" t="inlineStr">
        <is>
          <t>A 33591-2025</t>
        </is>
      </c>
      <c r="B136" t="inlineStr">
        <is>
          <t>avverkningsanmälan</t>
        </is>
      </c>
      <c r="C136" t="inlineStr">
        <is>
          <t>Föryngringsavverkning</t>
        </is>
      </c>
      <c r="D136" s="1" t="n">
        <v>45841</v>
      </c>
      <c r="E136" s="1" t="n">
        <v>46222</v>
      </c>
      <c r="F136" t="inlineStr">
        <is>
          <t>ÖREBRO LÄN</t>
        </is>
      </c>
      <c r="G136" t="inlineStr">
        <is>
          <t>LAXÅ</t>
        </is>
      </c>
      <c r="H136" t="inlineStr">
        <is>
          <t>Övriga statliga verk och myndigheter</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33597-2025</t>
        </is>
      </c>
      <c r="B137" t="inlineStr">
        <is>
          <t>avverkningsanmälan</t>
        </is>
      </c>
      <c r="C137" t="inlineStr">
        <is>
          <t>Föryngringsavverkning</t>
        </is>
      </c>
      <c r="D137" s="1" t="n">
        <v>45841</v>
      </c>
      <c r="E137" s="1" t="n">
        <v>46222</v>
      </c>
      <c r="F137" t="inlineStr">
        <is>
          <t>ÖREBRO LÄN</t>
        </is>
      </c>
      <c r="G137" t="inlineStr">
        <is>
          <t>LAXÅ</t>
        </is>
      </c>
      <c r="H137" t="inlineStr">
        <is>
          <t>Övriga statliga verk och myndigheter</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45424-2025</t>
        </is>
      </c>
      <c r="B138" t="inlineStr">
        <is>
          <t>avverkningsanmälan</t>
        </is>
      </c>
      <c r="C138" t="inlineStr">
        <is>
          <t>Föryngringsavverkning</t>
        </is>
      </c>
      <c r="D138" s="1" t="n">
        <v>45920</v>
      </c>
      <c r="E138" s="1" t="n">
        <v>46222</v>
      </c>
      <c r="F138" t="inlineStr">
        <is>
          <t>ÖREBRO LÄN</t>
        </is>
      </c>
      <c r="G138" t="inlineStr">
        <is>
          <t>LAXÅ</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50578-2024</t>
        </is>
      </c>
      <c r="B139" t="inlineStr">
        <is>
          <t>avverkningsanmälan</t>
        </is>
      </c>
      <c r="C139" t="inlineStr">
        <is>
          <t>Föryngringsavverkning</t>
        </is>
      </c>
      <c r="D139" s="1" t="n">
        <v>45601</v>
      </c>
      <c r="E139" s="1" t="n">
        <v>46222</v>
      </c>
      <c r="F139" t="inlineStr">
        <is>
          <t>ÖREBRO LÄN</t>
        </is>
      </c>
      <c r="G139" t="inlineStr">
        <is>
          <t>LAXÅ</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517-2026</t>
        </is>
      </c>
      <c r="B140" t="inlineStr">
        <is>
          <t>avverkningsanmälan</t>
        </is>
      </c>
      <c r="C140" t="inlineStr">
        <is>
          <t>Föryngringsavverkning</t>
        </is>
      </c>
      <c r="D140" s="1" t="n">
        <v>46029</v>
      </c>
      <c r="E140" s="1" t="n">
        <v>46222</v>
      </c>
      <c r="F140" t="inlineStr">
        <is>
          <t>ÖREBRO LÄN</t>
        </is>
      </c>
      <c r="G140" t="inlineStr">
        <is>
          <t>LAXÅ</t>
        </is>
      </c>
      <c r="H140" t="inlineStr">
        <is>
          <t>Kyrkan</t>
        </is>
      </c>
      <c r="I140" t="n">
        <v>2.9</v>
      </c>
      <c r="J140" t="n">
        <v>0</v>
      </c>
      <c r="K140" t="n">
        <v>0</v>
      </c>
      <c r="L140" t="n">
        <v>0</v>
      </c>
      <c r="M140" t="n">
        <v>0</v>
      </c>
      <c r="N140" t="n">
        <v>0</v>
      </c>
      <c r="O140" t="n">
        <v>0</v>
      </c>
      <c r="P140" t="n">
        <v>0</v>
      </c>
      <c r="Q140" t="n">
        <v>0</v>
      </c>
      <c r="R140" t="n">
        <v>0</v>
      </c>
      <c r="S140" t="n">
        <v>0</v>
      </c>
      <c r="T140" t="n">
        <v>0</v>
      </c>
      <c r="U140" s="2" t="inlineStr"/>
    </row>
    <row r="141" ht="15" customHeight="1">
      <c r="A141" t="inlineStr">
        <is>
          <t>A 41456-2023</t>
        </is>
      </c>
      <c r="B141" t="inlineStr">
        <is>
          <t>avverkningsanmälan</t>
        </is>
      </c>
      <c r="C141" t="inlineStr">
        <is>
          <t>Föryngringsavverkning</t>
        </is>
      </c>
      <c r="D141" s="1" t="n">
        <v>45175</v>
      </c>
      <c r="E141" s="1" t="n">
        <v>46222</v>
      </c>
      <c r="F141" t="inlineStr">
        <is>
          <t>ÖREBRO LÄN</t>
        </is>
      </c>
      <c r="G141" t="inlineStr">
        <is>
          <t>LAXÅ</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50005-2021</t>
        </is>
      </c>
      <c r="B142" t="inlineStr">
        <is>
          <t>avverkningsanmälan</t>
        </is>
      </c>
      <c r="C142" t="inlineStr">
        <is>
          <t>Föryngringsavverkning</t>
        </is>
      </c>
      <c r="D142" s="1" t="n">
        <v>44456</v>
      </c>
      <c r="E142" s="1" t="n">
        <v>46222</v>
      </c>
      <c r="F142" t="inlineStr">
        <is>
          <t>ÖREBRO LÄN</t>
        </is>
      </c>
      <c r="G142" t="inlineStr">
        <is>
          <t>LAXÅ</t>
        </is>
      </c>
      <c r="I142" t="n">
        <v>0.3</v>
      </c>
      <c r="J142" t="n">
        <v>0</v>
      </c>
      <c r="K142" t="n">
        <v>0</v>
      </c>
      <c r="L142" t="n">
        <v>0</v>
      </c>
      <c r="M142" t="n">
        <v>0</v>
      </c>
      <c r="N142" t="n">
        <v>0</v>
      </c>
      <c r="O142" t="n">
        <v>0</v>
      </c>
      <c r="P142" t="n">
        <v>0</v>
      </c>
      <c r="Q142" t="n">
        <v>0</v>
      </c>
      <c r="R142" t="n">
        <v>0</v>
      </c>
      <c r="S142" t="n">
        <v>0</v>
      </c>
      <c r="T142" t="n">
        <v>0</v>
      </c>
      <c r="U142" s="2" t="inlineStr"/>
    </row>
    <row r="143" ht="15" customHeight="1">
      <c r="A143" t="inlineStr">
        <is>
          <t>A 25512-2023</t>
        </is>
      </c>
      <c r="B143" t="inlineStr">
        <is>
          <t>avverkningsanmälan</t>
        </is>
      </c>
      <c r="C143" t="inlineStr">
        <is>
          <t>Föryngringsavverkning</t>
        </is>
      </c>
      <c r="D143" s="1" t="n">
        <v>45089</v>
      </c>
      <c r="E143" s="1" t="n">
        <v>46222</v>
      </c>
      <c r="F143" t="inlineStr">
        <is>
          <t>ÖREBRO LÄN</t>
        </is>
      </c>
      <c r="G143" t="inlineStr">
        <is>
          <t>LAXÅ</t>
        </is>
      </c>
      <c r="H143" t="inlineStr">
        <is>
          <t>Övriga statliga verk och myndigheter</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25515-2023</t>
        </is>
      </c>
      <c r="B144" t="inlineStr">
        <is>
          <t>avverkningsanmälan</t>
        </is>
      </c>
      <c r="C144" t="inlineStr">
        <is>
          <t>Föryngringsavverkning</t>
        </is>
      </c>
      <c r="D144" s="1" t="n">
        <v>45089</v>
      </c>
      <c r="E144" s="1" t="n">
        <v>46222</v>
      </c>
      <c r="F144" t="inlineStr">
        <is>
          <t>ÖREBRO LÄN</t>
        </is>
      </c>
      <c r="G144" t="inlineStr">
        <is>
          <t>LAXÅ</t>
        </is>
      </c>
      <c r="H144" t="inlineStr">
        <is>
          <t>Övriga statliga verk och myndigheter</t>
        </is>
      </c>
      <c r="I144" t="n">
        <v>1.5</v>
      </c>
      <c r="J144" t="n">
        <v>0</v>
      </c>
      <c r="K144" t="n">
        <v>0</v>
      </c>
      <c r="L144" t="n">
        <v>0</v>
      </c>
      <c r="M144" t="n">
        <v>0</v>
      </c>
      <c r="N144" t="n">
        <v>0</v>
      </c>
      <c r="O144" t="n">
        <v>0</v>
      </c>
      <c r="P144" t="n">
        <v>0</v>
      </c>
      <c r="Q144" t="n">
        <v>0</v>
      </c>
      <c r="R144" t="n">
        <v>0</v>
      </c>
      <c r="S144" t="n">
        <v>0</v>
      </c>
      <c r="T144" t="n">
        <v>0</v>
      </c>
      <c r="U144" s="2" t="inlineStr"/>
    </row>
    <row r="145" ht="15" customHeight="1">
      <c r="A145" t="inlineStr">
        <is>
          <t>A 7247-2026</t>
        </is>
      </c>
      <c r="B145" t="inlineStr">
        <is>
          <t>avverkningsanmälan</t>
        </is>
      </c>
      <c r="C145" t="inlineStr">
        <is>
          <t>Föryngringsavverkning</t>
        </is>
      </c>
      <c r="D145" s="1" t="n">
        <v>46058</v>
      </c>
      <c r="E145" s="1" t="n">
        <v>46222</v>
      </c>
      <c r="F145" t="inlineStr">
        <is>
          <t>ÖREBRO LÄN</t>
        </is>
      </c>
      <c r="G145" t="inlineStr">
        <is>
          <t>LAXÅ</t>
        </is>
      </c>
      <c r="I145" t="n">
        <v>5.6</v>
      </c>
      <c r="J145" t="n">
        <v>0</v>
      </c>
      <c r="K145" t="n">
        <v>0</v>
      </c>
      <c r="L145" t="n">
        <v>0</v>
      </c>
      <c r="M145" t="n">
        <v>0</v>
      </c>
      <c r="N145" t="n">
        <v>0</v>
      </c>
      <c r="O145" t="n">
        <v>0</v>
      </c>
      <c r="P145" t="n">
        <v>0</v>
      </c>
      <c r="Q145" t="n">
        <v>0</v>
      </c>
      <c r="R145" t="n">
        <v>0</v>
      </c>
      <c r="S145" t="n">
        <v>0</v>
      </c>
      <c r="T145" t="n">
        <v>0</v>
      </c>
      <c r="U145" s="2" t="inlineStr"/>
    </row>
    <row r="146" ht="15" customHeight="1">
      <c r="A146" t="inlineStr">
        <is>
          <t>A 10680-2023</t>
        </is>
      </c>
      <c r="B146" t="inlineStr">
        <is>
          <t>avverkningsanmälan</t>
        </is>
      </c>
      <c r="C146" t="inlineStr">
        <is>
          <t>Föryngringsavverkning</t>
        </is>
      </c>
      <c r="D146" s="1" t="n">
        <v>44988</v>
      </c>
      <c r="E146" s="1" t="n">
        <v>46222</v>
      </c>
      <c r="F146" t="inlineStr">
        <is>
          <t>ÖREBRO LÄN</t>
        </is>
      </c>
      <c r="G146" t="inlineStr">
        <is>
          <t>LAXÅ</t>
        </is>
      </c>
      <c r="H146" t="inlineStr">
        <is>
          <t>Sveaskog</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36672-2025</t>
        </is>
      </c>
      <c r="B147" t="inlineStr">
        <is>
          <t>avverkningsanmälan</t>
        </is>
      </c>
      <c r="C147" t="inlineStr">
        <is>
          <t>Föryngringsavverkning</t>
        </is>
      </c>
      <c r="D147" s="1" t="n">
        <v>45873</v>
      </c>
      <c r="E147" s="1" t="n">
        <v>46222</v>
      </c>
      <c r="F147" t="inlineStr">
        <is>
          <t>ÖREBRO LÄN</t>
        </is>
      </c>
      <c r="G147" t="inlineStr">
        <is>
          <t>LAXÅ</t>
        </is>
      </c>
      <c r="H147" t="inlineStr">
        <is>
          <t>Sveaskog</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36670-2025</t>
        </is>
      </c>
      <c r="B148" t="inlineStr">
        <is>
          <t>avverkningsanmälan</t>
        </is>
      </c>
      <c r="C148" t="inlineStr">
        <is>
          <t>Föryngringsavverkning</t>
        </is>
      </c>
      <c r="D148" s="1" t="n">
        <v>45873</v>
      </c>
      <c r="E148" s="1" t="n">
        <v>46222</v>
      </c>
      <c r="F148" t="inlineStr">
        <is>
          <t>ÖREBRO LÄN</t>
        </is>
      </c>
      <c r="G148" t="inlineStr">
        <is>
          <t>LAXÅ</t>
        </is>
      </c>
      <c r="H148" t="inlineStr">
        <is>
          <t>Sveaskog</t>
        </is>
      </c>
      <c r="I148" t="n">
        <v>4.7</v>
      </c>
      <c r="J148" t="n">
        <v>0</v>
      </c>
      <c r="K148" t="n">
        <v>0</v>
      </c>
      <c r="L148" t="n">
        <v>0</v>
      </c>
      <c r="M148" t="n">
        <v>0</v>
      </c>
      <c r="N148" t="n">
        <v>0</v>
      </c>
      <c r="O148" t="n">
        <v>0</v>
      </c>
      <c r="P148" t="n">
        <v>0</v>
      </c>
      <c r="Q148" t="n">
        <v>0</v>
      </c>
      <c r="R148" t="n">
        <v>0</v>
      </c>
      <c r="S148" t="n">
        <v>0</v>
      </c>
      <c r="T148" t="n">
        <v>0</v>
      </c>
      <c r="U148" s="2" t="inlineStr"/>
    </row>
    <row r="149" ht="15" customHeight="1">
      <c r="A149" t="inlineStr">
        <is>
          <t>A 67053-2021</t>
        </is>
      </c>
      <c r="B149" t="inlineStr">
        <is>
          <t>avverkningsanmälan</t>
        </is>
      </c>
      <c r="C149" t="inlineStr">
        <is>
          <t>Föryngringsavverkning</t>
        </is>
      </c>
      <c r="D149" s="1" t="n">
        <v>44522</v>
      </c>
      <c r="E149" s="1" t="n">
        <v>46222</v>
      </c>
      <c r="F149" t="inlineStr">
        <is>
          <t>ÖREBRO LÄN</t>
        </is>
      </c>
      <c r="G149" t="inlineStr">
        <is>
          <t>LAXÅ</t>
        </is>
      </c>
      <c r="I149" t="n">
        <v>1.5</v>
      </c>
      <c r="J149" t="n">
        <v>0</v>
      </c>
      <c r="K149" t="n">
        <v>0</v>
      </c>
      <c r="L149" t="n">
        <v>0</v>
      </c>
      <c r="M149" t="n">
        <v>0</v>
      </c>
      <c r="N149" t="n">
        <v>0</v>
      </c>
      <c r="O149" t="n">
        <v>0</v>
      </c>
      <c r="P149" t="n">
        <v>0</v>
      </c>
      <c r="Q149" t="n">
        <v>0</v>
      </c>
      <c r="R149" t="n">
        <v>0</v>
      </c>
      <c r="S149" t="n">
        <v>0</v>
      </c>
      <c r="T149" t="n">
        <v>0</v>
      </c>
      <c r="U149" s="2" t="inlineStr"/>
    </row>
    <row r="150" ht="15" customHeight="1">
      <c r="A150" t="inlineStr">
        <is>
          <t>A 37620-2025</t>
        </is>
      </c>
      <c r="B150" t="inlineStr">
        <is>
          <t>avverkningsanmälan</t>
        </is>
      </c>
      <c r="C150" t="inlineStr">
        <is>
          <t>Föryngringsavverkning</t>
        </is>
      </c>
      <c r="D150" s="1" t="n">
        <v>45880</v>
      </c>
      <c r="E150" s="1" t="n">
        <v>46222</v>
      </c>
      <c r="F150" t="inlineStr">
        <is>
          <t>ÖREBRO LÄN</t>
        </is>
      </c>
      <c r="G150" t="inlineStr">
        <is>
          <t>LAXÅ</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12962-2025</t>
        </is>
      </c>
      <c r="B151" t="inlineStr">
        <is>
          <t>avverkningsanmälan</t>
        </is>
      </c>
      <c r="C151" t="inlineStr">
        <is>
          <t>Föryngringsavverkning</t>
        </is>
      </c>
      <c r="D151" s="1" t="n">
        <v>45734</v>
      </c>
      <c r="E151" s="1" t="n">
        <v>46222</v>
      </c>
      <c r="F151" t="inlineStr">
        <is>
          <t>ÖREBRO LÄN</t>
        </is>
      </c>
      <c r="G151" t="inlineStr">
        <is>
          <t>LAXÅ</t>
        </is>
      </c>
      <c r="H151" t="inlineStr">
        <is>
          <t>Sveaskog</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6905-2025</t>
        </is>
      </c>
      <c r="B152" t="inlineStr">
        <is>
          <t>avverkningsanmälan</t>
        </is>
      </c>
      <c r="C152" t="inlineStr">
        <is>
          <t>Föryngringsavverkning</t>
        </is>
      </c>
      <c r="D152" s="1" t="n">
        <v>45701</v>
      </c>
      <c r="E152" s="1" t="n">
        <v>46222</v>
      </c>
      <c r="F152" t="inlineStr">
        <is>
          <t>ÖREBRO LÄN</t>
        </is>
      </c>
      <c r="G152" t="inlineStr">
        <is>
          <t>LAXÅ</t>
        </is>
      </c>
      <c r="H152" t="inlineStr">
        <is>
          <t>Sveaskog</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57548-2023</t>
        </is>
      </c>
      <c r="B153" t="inlineStr">
        <is>
          <t>avverkningsanmälan</t>
        </is>
      </c>
      <c r="C153" t="inlineStr">
        <is>
          <t>Föryngringsavverkning</t>
        </is>
      </c>
      <c r="D153" s="1" t="n">
        <v>45240</v>
      </c>
      <c r="E153" s="1" t="n">
        <v>46222</v>
      </c>
      <c r="F153" t="inlineStr">
        <is>
          <t>ÖREBRO LÄN</t>
        </is>
      </c>
      <c r="G153" t="inlineStr">
        <is>
          <t>LAXÅ</t>
        </is>
      </c>
      <c r="I153" t="n">
        <v>2.2</v>
      </c>
      <c r="J153" t="n">
        <v>0</v>
      </c>
      <c r="K153" t="n">
        <v>0</v>
      </c>
      <c r="L153" t="n">
        <v>0</v>
      </c>
      <c r="M153" t="n">
        <v>0</v>
      </c>
      <c r="N153" t="n">
        <v>0</v>
      </c>
      <c r="O153" t="n">
        <v>0</v>
      </c>
      <c r="P153" t="n">
        <v>0</v>
      </c>
      <c r="Q153" t="n">
        <v>0</v>
      </c>
      <c r="R153" t="n">
        <v>0</v>
      </c>
      <c r="S153" t="n">
        <v>0</v>
      </c>
      <c r="T153" t="n">
        <v>0</v>
      </c>
      <c r="U153" s="2" t="inlineStr"/>
    </row>
    <row r="154" ht="15" customHeight="1">
      <c r="A154" t="inlineStr">
        <is>
          <t>A 51462-2025</t>
        </is>
      </c>
      <c r="B154" t="inlineStr">
        <is>
          <t>avverkningsanmälan</t>
        </is>
      </c>
      <c r="C154" t="inlineStr">
        <is>
          <t>Föryngringsavverkning</t>
        </is>
      </c>
      <c r="D154" s="1" t="n">
        <v>45950</v>
      </c>
      <c r="E154" s="1" t="n">
        <v>46222</v>
      </c>
      <c r="F154" t="inlineStr">
        <is>
          <t>ÖREBRO LÄN</t>
        </is>
      </c>
      <c r="G154" t="inlineStr">
        <is>
          <t>LAXÅ</t>
        </is>
      </c>
      <c r="H154" t="inlineStr">
        <is>
          <t>Sveaskog</t>
        </is>
      </c>
      <c r="I154" t="n">
        <v>2.5</v>
      </c>
      <c r="J154" t="n">
        <v>0</v>
      </c>
      <c r="K154" t="n">
        <v>0</v>
      </c>
      <c r="L154" t="n">
        <v>0</v>
      </c>
      <c r="M154" t="n">
        <v>0</v>
      </c>
      <c r="N154" t="n">
        <v>0</v>
      </c>
      <c r="O154" t="n">
        <v>0</v>
      </c>
      <c r="P154" t="n">
        <v>0</v>
      </c>
      <c r="Q154" t="n">
        <v>0</v>
      </c>
      <c r="R154" t="n">
        <v>0</v>
      </c>
      <c r="S154" t="n">
        <v>0</v>
      </c>
      <c r="T154" t="n">
        <v>0</v>
      </c>
      <c r="U154" s="2" t="inlineStr"/>
    </row>
    <row r="155" ht="15" customHeight="1">
      <c r="A155" t="inlineStr">
        <is>
          <t>A 53092-2025</t>
        </is>
      </c>
      <c r="B155" t="inlineStr">
        <is>
          <t>avverkningsanmälan</t>
        </is>
      </c>
      <c r="C155" t="inlineStr">
        <is>
          <t>Föryngringsavverkning</t>
        </is>
      </c>
      <c r="D155" s="1" t="n">
        <v>45958</v>
      </c>
      <c r="E155" s="1" t="n">
        <v>46222</v>
      </c>
      <c r="F155" t="inlineStr">
        <is>
          <t>ÖREBRO LÄN</t>
        </is>
      </c>
      <c r="G155" t="inlineStr">
        <is>
          <t>LAXÅ</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16682-2024</t>
        </is>
      </c>
      <c r="B156" t="inlineStr">
        <is>
          <t>avverkningsanmälan</t>
        </is>
      </c>
      <c r="C156" t="inlineStr">
        <is>
          <t>Föryngringsavverkning</t>
        </is>
      </c>
      <c r="D156" s="1" t="n">
        <v>45408</v>
      </c>
      <c r="E156" s="1" t="n">
        <v>46222</v>
      </c>
      <c r="F156" t="inlineStr">
        <is>
          <t>ÖREBRO LÄN</t>
        </is>
      </c>
      <c r="G156" t="inlineStr">
        <is>
          <t>LAXÅ</t>
        </is>
      </c>
      <c r="H156" t="inlineStr">
        <is>
          <t>Allmännings- och besparingsskogar</t>
        </is>
      </c>
      <c r="I156" t="n">
        <v>4.2</v>
      </c>
      <c r="J156" t="n">
        <v>0</v>
      </c>
      <c r="K156" t="n">
        <v>0</v>
      </c>
      <c r="L156" t="n">
        <v>0</v>
      </c>
      <c r="M156" t="n">
        <v>0</v>
      </c>
      <c r="N156" t="n">
        <v>0</v>
      </c>
      <c r="O156" t="n">
        <v>0</v>
      </c>
      <c r="P156" t="n">
        <v>0</v>
      </c>
      <c r="Q156" t="n">
        <v>0</v>
      </c>
      <c r="R156" t="n">
        <v>0</v>
      </c>
      <c r="S156" t="n">
        <v>0</v>
      </c>
      <c r="T156" t="n">
        <v>0</v>
      </c>
      <c r="U156" s="2" t="inlineStr"/>
    </row>
    <row r="157" ht="15" customHeight="1">
      <c r="A157" t="inlineStr">
        <is>
          <t>A 9107-2026</t>
        </is>
      </c>
      <c r="B157" t="inlineStr">
        <is>
          <t>avverkningsanmälan</t>
        </is>
      </c>
      <c r="C157" t="inlineStr">
        <is>
          <t>Föryngringsavverkning</t>
        </is>
      </c>
      <c r="D157" s="1" t="n">
        <v>46069</v>
      </c>
      <c r="E157" s="1" t="n">
        <v>46222</v>
      </c>
      <c r="F157" t="inlineStr">
        <is>
          <t>ÖREBRO LÄN</t>
        </is>
      </c>
      <c r="G157" t="inlineStr">
        <is>
          <t>LAXÅ</t>
        </is>
      </c>
      <c r="H157" t="inlineStr">
        <is>
          <t>Sveaskog</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33692-2023</t>
        </is>
      </c>
      <c r="B158" t="inlineStr">
        <is>
          <t>avverkningsanmälan</t>
        </is>
      </c>
      <c r="C158" t="inlineStr">
        <is>
          <t>Föryngringsavverkning</t>
        </is>
      </c>
      <c r="D158" s="1" t="n">
        <v>45132</v>
      </c>
      <c r="E158" s="1" t="n">
        <v>46222</v>
      </c>
      <c r="F158" t="inlineStr">
        <is>
          <t>ÖREBRO LÄN</t>
        </is>
      </c>
      <c r="G158" t="inlineStr">
        <is>
          <t>LAXÅ</t>
        </is>
      </c>
      <c r="I158" t="n">
        <v>3.6</v>
      </c>
      <c r="J158" t="n">
        <v>0</v>
      </c>
      <c r="K158" t="n">
        <v>0</v>
      </c>
      <c r="L158" t="n">
        <v>0</v>
      </c>
      <c r="M158" t="n">
        <v>0</v>
      </c>
      <c r="N158" t="n">
        <v>0</v>
      </c>
      <c r="O158" t="n">
        <v>0</v>
      </c>
      <c r="P158" t="n">
        <v>0</v>
      </c>
      <c r="Q158" t="n">
        <v>0</v>
      </c>
      <c r="R158" t="n">
        <v>0</v>
      </c>
      <c r="S158" t="n">
        <v>0</v>
      </c>
      <c r="T158" t="n">
        <v>0</v>
      </c>
      <c r="U158" s="2" t="inlineStr"/>
    </row>
    <row r="159" ht="15" customHeight="1">
      <c r="A159" t="inlineStr">
        <is>
          <t>A 33696-2023</t>
        </is>
      </c>
      <c r="B159" t="inlineStr">
        <is>
          <t>avverkningsanmälan</t>
        </is>
      </c>
      <c r="C159" t="inlineStr">
        <is>
          <t>Föryngringsavverkning</t>
        </is>
      </c>
      <c r="D159" s="1" t="n">
        <v>45132</v>
      </c>
      <c r="E159" s="1" t="n">
        <v>46222</v>
      </c>
      <c r="F159" t="inlineStr">
        <is>
          <t>ÖREBRO LÄN</t>
        </is>
      </c>
      <c r="G159" t="inlineStr">
        <is>
          <t>LAXÅ</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9108-2026</t>
        </is>
      </c>
      <c r="B160" t="inlineStr">
        <is>
          <t>avverkningsanmälan</t>
        </is>
      </c>
      <c r="C160" t="inlineStr">
        <is>
          <t>Föryngringsavverkning</t>
        </is>
      </c>
      <c r="D160" s="1" t="n">
        <v>46069</v>
      </c>
      <c r="E160" s="1" t="n">
        <v>46222</v>
      </c>
      <c r="F160" t="inlineStr">
        <is>
          <t>ÖREBRO LÄN</t>
        </is>
      </c>
      <c r="G160" t="inlineStr">
        <is>
          <t>LAXÅ</t>
        </is>
      </c>
      <c r="H160" t="inlineStr">
        <is>
          <t>Sveaskog</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9110-2026</t>
        </is>
      </c>
      <c r="B161" t="inlineStr">
        <is>
          <t>avverkningsanmälan</t>
        </is>
      </c>
      <c r="C161" t="inlineStr">
        <is>
          <t>Föryngringsavverkning</t>
        </is>
      </c>
      <c r="D161" s="1" t="n">
        <v>46069</v>
      </c>
      <c r="E161" s="1" t="n">
        <v>46222</v>
      </c>
      <c r="F161" t="inlineStr">
        <is>
          <t>ÖREBRO LÄN</t>
        </is>
      </c>
      <c r="G161" t="inlineStr">
        <is>
          <t>LAXÅ</t>
        </is>
      </c>
      <c r="H161" t="inlineStr">
        <is>
          <t>Sveaskog</t>
        </is>
      </c>
      <c r="I161" t="n">
        <v>3.9</v>
      </c>
      <c r="J161" t="n">
        <v>0</v>
      </c>
      <c r="K161" t="n">
        <v>0</v>
      </c>
      <c r="L161" t="n">
        <v>0</v>
      </c>
      <c r="M161" t="n">
        <v>0</v>
      </c>
      <c r="N161" t="n">
        <v>0</v>
      </c>
      <c r="O161" t="n">
        <v>0</v>
      </c>
      <c r="P161" t="n">
        <v>0</v>
      </c>
      <c r="Q161" t="n">
        <v>0</v>
      </c>
      <c r="R161" t="n">
        <v>0</v>
      </c>
      <c r="S161" t="n">
        <v>0</v>
      </c>
      <c r="T161" t="n">
        <v>0</v>
      </c>
      <c r="U161" s="2" t="inlineStr"/>
    </row>
    <row r="162" ht="15" customHeight="1">
      <c r="A162" t="inlineStr">
        <is>
          <t>A 9112-2026</t>
        </is>
      </c>
      <c r="B162" t="inlineStr">
        <is>
          <t>avverkningsanmälan</t>
        </is>
      </c>
      <c r="C162" t="inlineStr">
        <is>
          <t>Föryngringsavverkning</t>
        </is>
      </c>
      <c r="D162" s="1" t="n">
        <v>46069</v>
      </c>
      <c r="E162" s="1" t="n">
        <v>46222</v>
      </c>
      <c r="F162" t="inlineStr">
        <is>
          <t>ÖREBRO LÄN</t>
        </is>
      </c>
      <c r="G162" t="inlineStr">
        <is>
          <t>LAXÅ</t>
        </is>
      </c>
      <c r="H162" t="inlineStr">
        <is>
          <t>Sveaskog</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57521-2023</t>
        </is>
      </c>
      <c r="B163" t="inlineStr">
        <is>
          <t>avverkningsanmälan</t>
        </is>
      </c>
      <c r="C163" t="inlineStr">
        <is>
          <t>Föryngringsavverkning</t>
        </is>
      </c>
      <c r="D163" s="1" t="n">
        <v>45240</v>
      </c>
      <c r="E163" s="1" t="n">
        <v>46222</v>
      </c>
      <c r="F163" t="inlineStr">
        <is>
          <t>ÖREBRO LÄN</t>
        </is>
      </c>
      <c r="G163" t="inlineStr">
        <is>
          <t>LAXÅ</t>
        </is>
      </c>
      <c r="I163" t="n">
        <v>4.2</v>
      </c>
      <c r="J163" t="n">
        <v>0</v>
      </c>
      <c r="K163" t="n">
        <v>0</v>
      </c>
      <c r="L163" t="n">
        <v>0</v>
      </c>
      <c r="M163" t="n">
        <v>0</v>
      </c>
      <c r="N163" t="n">
        <v>0</v>
      </c>
      <c r="O163" t="n">
        <v>0</v>
      </c>
      <c r="P163" t="n">
        <v>0</v>
      </c>
      <c r="Q163" t="n">
        <v>0</v>
      </c>
      <c r="R163" t="n">
        <v>0</v>
      </c>
      <c r="S163" t="n">
        <v>0</v>
      </c>
      <c r="T163" t="n">
        <v>0</v>
      </c>
      <c r="U163" s="2" t="inlineStr"/>
    </row>
    <row r="164" ht="15" customHeight="1">
      <c r="A164" t="inlineStr">
        <is>
          <t>A 57534-2023</t>
        </is>
      </c>
      <c r="B164" t="inlineStr">
        <is>
          <t>avverkningsanmälan</t>
        </is>
      </c>
      <c r="C164" t="inlineStr">
        <is>
          <t>Föryngringsavverkning</t>
        </is>
      </c>
      <c r="D164" s="1" t="n">
        <v>45240</v>
      </c>
      <c r="E164" s="1" t="n">
        <v>46222</v>
      </c>
      <c r="F164" t="inlineStr">
        <is>
          <t>ÖREBRO LÄN</t>
        </is>
      </c>
      <c r="G164" t="inlineStr">
        <is>
          <t>LAXÅ</t>
        </is>
      </c>
      <c r="I164" t="n">
        <v>3.8</v>
      </c>
      <c r="J164" t="n">
        <v>0</v>
      </c>
      <c r="K164" t="n">
        <v>0</v>
      </c>
      <c r="L164" t="n">
        <v>0</v>
      </c>
      <c r="M164" t="n">
        <v>0</v>
      </c>
      <c r="N164" t="n">
        <v>0</v>
      </c>
      <c r="O164" t="n">
        <v>0</v>
      </c>
      <c r="P164" t="n">
        <v>0</v>
      </c>
      <c r="Q164" t="n">
        <v>0</v>
      </c>
      <c r="R164" t="n">
        <v>0</v>
      </c>
      <c r="S164" t="n">
        <v>0</v>
      </c>
      <c r="T164" t="n">
        <v>0</v>
      </c>
      <c r="U164" s="2" t="inlineStr"/>
    </row>
    <row r="165" ht="15" customHeight="1">
      <c r="A165" t="inlineStr">
        <is>
          <t>A 15650-2023</t>
        </is>
      </c>
      <c r="B165" t="inlineStr">
        <is>
          <t>avverkningsanmälan</t>
        </is>
      </c>
      <c r="C165" t="inlineStr">
        <is>
          <t>Föryngringsavverkning</t>
        </is>
      </c>
      <c r="D165" s="1" t="n">
        <v>45021</v>
      </c>
      <c r="E165" s="1" t="n">
        <v>46222</v>
      </c>
      <c r="F165" t="inlineStr">
        <is>
          <t>ÖREBRO LÄN</t>
        </is>
      </c>
      <c r="G165" t="inlineStr">
        <is>
          <t>LAXÅ</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11139-2023</t>
        </is>
      </c>
      <c r="B166" t="inlineStr">
        <is>
          <t>avverkningsanmälan</t>
        </is>
      </c>
      <c r="C166" t="inlineStr">
        <is>
          <t>Föryngringsavverkning</t>
        </is>
      </c>
      <c r="D166" s="1" t="n">
        <v>44987</v>
      </c>
      <c r="E166" s="1" t="n">
        <v>46222</v>
      </c>
      <c r="F166" t="inlineStr">
        <is>
          <t>ÖREBRO LÄN</t>
        </is>
      </c>
      <c r="G166" t="inlineStr">
        <is>
          <t>LAXÅ</t>
        </is>
      </c>
      <c r="I166" t="n">
        <v>4.1</v>
      </c>
      <c r="J166" t="n">
        <v>0</v>
      </c>
      <c r="K166" t="n">
        <v>0</v>
      </c>
      <c r="L166" t="n">
        <v>0</v>
      </c>
      <c r="M166" t="n">
        <v>0</v>
      </c>
      <c r="N166" t="n">
        <v>0</v>
      </c>
      <c r="O166" t="n">
        <v>0</v>
      </c>
      <c r="P166" t="n">
        <v>0</v>
      </c>
      <c r="Q166" t="n">
        <v>0</v>
      </c>
      <c r="R166" t="n">
        <v>0</v>
      </c>
      <c r="S166" t="n">
        <v>0</v>
      </c>
      <c r="T166" t="n">
        <v>0</v>
      </c>
      <c r="U166" s="2" t="inlineStr"/>
    </row>
    <row r="167" ht="15" customHeight="1">
      <c r="A167" t="inlineStr">
        <is>
          <t>A 55202-2025</t>
        </is>
      </c>
      <c r="B167" t="inlineStr">
        <is>
          <t>avverkningsanmälan</t>
        </is>
      </c>
      <c r="C167" t="inlineStr">
        <is>
          <t>Avverkning för att bevara och utveckla /försöksver</t>
        </is>
      </c>
      <c r="D167" s="1" t="n">
        <v>45968</v>
      </c>
      <c r="E167" s="1" t="n">
        <v>46222</v>
      </c>
      <c r="F167" t="inlineStr">
        <is>
          <t>ÖREBRO LÄN</t>
        </is>
      </c>
      <c r="G167" t="inlineStr">
        <is>
          <t>LAXÅ</t>
        </is>
      </c>
      <c r="H167" t="inlineStr">
        <is>
          <t>Sveaskog</t>
        </is>
      </c>
      <c r="I167" t="n">
        <v>1.4</v>
      </c>
      <c r="J167" t="n">
        <v>0</v>
      </c>
      <c r="K167" t="n">
        <v>0</v>
      </c>
      <c r="L167" t="n">
        <v>0</v>
      </c>
      <c r="M167" t="n">
        <v>0</v>
      </c>
      <c r="N167" t="n">
        <v>0</v>
      </c>
      <c r="O167" t="n">
        <v>0</v>
      </c>
      <c r="P167" t="n">
        <v>0</v>
      </c>
      <c r="Q167" t="n">
        <v>0</v>
      </c>
      <c r="R167" t="n">
        <v>0</v>
      </c>
      <c r="S167" t="n">
        <v>0</v>
      </c>
      <c r="T167" t="n">
        <v>0</v>
      </c>
      <c r="U167" s="2" t="inlineStr"/>
    </row>
    <row r="168" ht="15" customHeight="1">
      <c r="A168" t="inlineStr">
        <is>
          <t>A 55117-2025</t>
        </is>
      </c>
      <c r="B168" t="inlineStr">
        <is>
          <t>avverkningsanmälan</t>
        </is>
      </c>
      <c r="C168" t="inlineStr">
        <is>
          <t>Föryngringsavverkning</t>
        </is>
      </c>
      <c r="D168" s="1" t="n">
        <v>45968</v>
      </c>
      <c r="E168" s="1" t="n">
        <v>46222</v>
      </c>
      <c r="F168" t="inlineStr">
        <is>
          <t>ÖREBRO LÄN</t>
        </is>
      </c>
      <c r="G168" t="inlineStr">
        <is>
          <t>LAXÅ</t>
        </is>
      </c>
      <c r="H168" t="inlineStr">
        <is>
          <t>Sveaskog</t>
        </is>
      </c>
      <c r="I168" t="n">
        <v>13.5</v>
      </c>
      <c r="J168" t="n">
        <v>0</v>
      </c>
      <c r="K168" t="n">
        <v>0</v>
      </c>
      <c r="L168" t="n">
        <v>0</v>
      </c>
      <c r="M168" t="n">
        <v>0</v>
      </c>
      <c r="N168" t="n">
        <v>0</v>
      </c>
      <c r="O168" t="n">
        <v>0</v>
      </c>
      <c r="P168" t="n">
        <v>0</v>
      </c>
      <c r="Q168" t="n">
        <v>0</v>
      </c>
      <c r="R168" t="n">
        <v>0</v>
      </c>
      <c r="S168" t="n">
        <v>0</v>
      </c>
      <c r="T168" t="n">
        <v>0</v>
      </c>
      <c r="U168" s="2" t="inlineStr"/>
    </row>
    <row r="169" ht="15" customHeight="1">
      <c r="A169" t="inlineStr">
        <is>
          <t>A 9987-2026</t>
        </is>
      </c>
      <c r="B169" t="inlineStr">
        <is>
          <t>avverkningsanmälan</t>
        </is>
      </c>
      <c r="C169" t="inlineStr">
        <is>
          <t>Föryngringsavverkning</t>
        </is>
      </c>
      <c r="D169" s="1" t="n">
        <v>46073</v>
      </c>
      <c r="E169" s="1" t="n">
        <v>46222</v>
      </c>
      <c r="F169" t="inlineStr">
        <is>
          <t>ÖREBRO LÄN</t>
        </is>
      </c>
      <c r="G169" t="inlineStr">
        <is>
          <t>LAXÅ</t>
        </is>
      </c>
      <c r="H169" t="inlineStr">
        <is>
          <t>Sveaskog</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54901-2025</t>
        </is>
      </c>
      <c r="B170" t="inlineStr">
        <is>
          <t>avverkningsanmälan</t>
        </is>
      </c>
      <c r="C170" t="inlineStr">
        <is>
          <t>Föryngringsavverkning</t>
        </is>
      </c>
      <c r="D170" s="1" t="n">
        <v>45967</v>
      </c>
      <c r="E170" s="1" t="n">
        <v>46222</v>
      </c>
      <c r="F170" t="inlineStr">
        <is>
          <t>ÖREBRO LÄN</t>
        </is>
      </c>
      <c r="G170" t="inlineStr">
        <is>
          <t>LAXÅ</t>
        </is>
      </c>
      <c r="I170" t="n">
        <v>4.2</v>
      </c>
      <c r="J170" t="n">
        <v>0</v>
      </c>
      <c r="K170" t="n">
        <v>0</v>
      </c>
      <c r="L170" t="n">
        <v>0</v>
      </c>
      <c r="M170" t="n">
        <v>0</v>
      </c>
      <c r="N170" t="n">
        <v>0</v>
      </c>
      <c r="O170" t="n">
        <v>0</v>
      </c>
      <c r="P170" t="n">
        <v>0</v>
      </c>
      <c r="Q170" t="n">
        <v>0</v>
      </c>
      <c r="R170" t="n">
        <v>0</v>
      </c>
      <c r="S170" t="n">
        <v>0</v>
      </c>
      <c r="T170" t="n">
        <v>0</v>
      </c>
      <c r="U170" s="2" t="inlineStr"/>
    </row>
    <row r="171" ht="15" customHeight="1">
      <c r="A171" t="inlineStr">
        <is>
          <t>A 9986-2026</t>
        </is>
      </c>
      <c r="B171" t="inlineStr">
        <is>
          <t>avverkningsanmälan</t>
        </is>
      </c>
      <c r="C171" t="inlineStr">
        <is>
          <t>Föryngringsavverkning</t>
        </is>
      </c>
      <c r="D171" s="1" t="n">
        <v>46073</v>
      </c>
      <c r="E171" s="1" t="n">
        <v>46222</v>
      </c>
      <c r="F171" t="inlineStr">
        <is>
          <t>ÖREBRO LÄN</t>
        </is>
      </c>
      <c r="G171" t="inlineStr">
        <is>
          <t>LAXÅ</t>
        </is>
      </c>
      <c r="H171" t="inlineStr">
        <is>
          <t>Sveaskog</t>
        </is>
      </c>
      <c r="I171" t="n">
        <v>2.6</v>
      </c>
      <c r="J171" t="n">
        <v>0</v>
      </c>
      <c r="K171" t="n">
        <v>0</v>
      </c>
      <c r="L171" t="n">
        <v>0</v>
      </c>
      <c r="M171" t="n">
        <v>0</v>
      </c>
      <c r="N171" t="n">
        <v>0</v>
      </c>
      <c r="O171" t="n">
        <v>0</v>
      </c>
      <c r="P171" t="n">
        <v>0</v>
      </c>
      <c r="Q171" t="n">
        <v>0</v>
      </c>
      <c r="R171" t="n">
        <v>0</v>
      </c>
      <c r="S171" t="n">
        <v>0</v>
      </c>
      <c r="T171" t="n">
        <v>0</v>
      </c>
      <c r="U171" s="2" t="inlineStr"/>
    </row>
    <row r="172" ht="15" customHeight="1">
      <c r="A172" t="inlineStr">
        <is>
          <t>A 54411-2022</t>
        </is>
      </c>
      <c r="B172" t="inlineStr">
        <is>
          <t>avverkningsanmälan</t>
        </is>
      </c>
      <c r="C172" t="inlineStr">
        <is>
          <t>Föryngringsavverkning</t>
        </is>
      </c>
      <c r="D172" s="1" t="n">
        <v>44879</v>
      </c>
      <c r="E172" s="1" t="n">
        <v>46222</v>
      </c>
      <c r="F172" t="inlineStr">
        <is>
          <t>ÖREBRO LÄN</t>
        </is>
      </c>
      <c r="G172" t="inlineStr">
        <is>
          <t>LAXÅ</t>
        </is>
      </c>
      <c r="I172" t="n">
        <v>2.7</v>
      </c>
      <c r="J172" t="n">
        <v>0</v>
      </c>
      <c r="K172" t="n">
        <v>0</v>
      </c>
      <c r="L172" t="n">
        <v>0</v>
      </c>
      <c r="M172" t="n">
        <v>0</v>
      </c>
      <c r="N172" t="n">
        <v>0</v>
      </c>
      <c r="O172" t="n">
        <v>0</v>
      </c>
      <c r="P172" t="n">
        <v>0</v>
      </c>
      <c r="Q172" t="n">
        <v>0</v>
      </c>
      <c r="R172" t="n">
        <v>0</v>
      </c>
      <c r="S172" t="n">
        <v>0</v>
      </c>
      <c r="T172" t="n">
        <v>0</v>
      </c>
      <c r="U172" s="2" t="inlineStr"/>
    </row>
    <row r="173" ht="15" customHeight="1">
      <c r="A173" t="inlineStr">
        <is>
          <t>A 33186-2023</t>
        </is>
      </c>
      <c r="B173" t="inlineStr">
        <is>
          <t>avverkningsanmälan</t>
        </is>
      </c>
      <c r="C173" t="inlineStr">
        <is>
          <t>Föryngringsavverkning</t>
        </is>
      </c>
      <c r="D173" s="1" t="n">
        <v>45127</v>
      </c>
      <c r="E173" s="1" t="n">
        <v>46222</v>
      </c>
      <c r="F173" t="inlineStr">
        <is>
          <t>ÖREBRO LÄN</t>
        </is>
      </c>
      <c r="G173" t="inlineStr">
        <is>
          <t>LAXÅ</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15380-2025</t>
        </is>
      </c>
      <c r="B174" t="inlineStr">
        <is>
          <t>avverkningsanmälan</t>
        </is>
      </c>
      <c r="C174" t="inlineStr">
        <is>
          <t>Föryngringsavverkning</t>
        </is>
      </c>
      <c r="D174" s="1" t="n">
        <v>45747</v>
      </c>
      <c r="E174" s="1" t="n">
        <v>46222</v>
      </c>
      <c r="F174" t="inlineStr">
        <is>
          <t>ÖREBRO LÄN</t>
        </is>
      </c>
      <c r="G174" t="inlineStr">
        <is>
          <t>LAXÅ</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56668-2025</t>
        </is>
      </c>
      <c r="B175" t="inlineStr">
        <is>
          <t>avverkningsanmälan</t>
        </is>
      </c>
      <c r="C175" t="inlineStr">
        <is>
          <t>Föryngringsavverkning</t>
        </is>
      </c>
      <c r="D175" s="1" t="n">
        <v>45975</v>
      </c>
      <c r="E175" s="1" t="n">
        <v>46222</v>
      </c>
      <c r="F175" t="inlineStr">
        <is>
          <t>ÖREBRO LÄN</t>
        </is>
      </c>
      <c r="G175" t="inlineStr">
        <is>
          <t>LAXÅ</t>
        </is>
      </c>
      <c r="I175" t="n">
        <v>18.1</v>
      </c>
      <c r="J175" t="n">
        <v>0</v>
      </c>
      <c r="K175" t="n">
        <v>0</v>
      </c>
      <c r="L175" t="n">
        <v>0</v>
      </c>
      <c r="M175" t="n">
        <v>0</v>
      </c>
      <c r="N175" t="n">
        <v>0</v>
      </c>
      <c r="O175" t="n">
        <v>0</v>
      </c>
      <c r="P175" t="n">
        <v>0</v>
      </c>
      <c r="Q175" t="n">
        <v>0</v>
      </c>
      <c r="R175" t="n">
        <v>0</v>
      </c>
      <c r="S175" t="n">
        <v>0</v>
      </c>
      <c r="T175" t="n">
        <v>0</v>
      </c>
      <c r="U175" s="2" t="inlineStr"/>
    </row>
    <row r="176" ht="15" customHeight="1">
      <c r="A176" t="inlineStr">
        <is>
          <t>A 13102-2025</t>
        </is>
      </c>
      <c r="B176" t="inlineStr">
        <is>
          <t>avverkningsanmälan</t>
        </is>
      </c>
      <c r="C176" t="inlineStr">
        <is>
          <t>Föryngringsavverkning</t>
        </is>
      </c>
      <c r="D176" s="1" t="n">
        <v>45734</v>
      </c>
      <c r="E176" s="1" t="n">
        <v>46222</v>
      </c>
      <c r="F176" t="inlineStr">
        <is>
          <t>ÖREBRO LÄN</t>
        </is>
      </c>
      <c r="G176" t="inlineStr">
        <is>
          <t>LAXÅ</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57425-2025</t>
        </is>
      </c>
      <c r="B177" t="inlineStr">
        <is>
          <t>avverkningsanmälan</t>
        </is>
      </c>
      <c r="C177" t="inlineStr">
        <is>
          <t>Föryngringsavverkning</t>
        </is>
      </c>
      <c r="D177" s="1" t="n">
        <v>45980</v>
      </c>
      <c r="E177" s="1" t="n">
        <v>46222</v>
      </c>
      <c r="F177" t="inlineStr">
        <is>
          <t>ÖREBRO LÄN</t>
        </is>
      </c>
      <c r="G177" t="inlineStr">
        <is>
          <t>LAXÅ</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57515-2023</t>
        </is>
      </c>
      <c r="B178" t="inlineStr">
        <is>
          <t>avverkningsanmälan</t>
        </is>
      </c>
      <c r="C178" t="inlineStr">
        <is>
          <t>Föryngringsavverkning</t>
        </is>
      </c>
      <c r="D178" s="1" t="n">
        <v>45240</v>
      </c>
      <c r="E178" s="1" t="n">
        <v>46222</v>
      </c>
      <c r="F178" t="inlineStr">
        <is>
          <t>ÖREBRO LÄN</t>
        </is>
      </c>
      <c r="G178" t="inlineStr">
        <is>
          <t>LAXÅ</t>
        </is>
      </c>
      <c r="I178" t="n">
        <v>3.2</v>
      </c>
      <c r="J178" t="n">
        <v>0</v>
      </c>
      <c r="K178" t="n">
        <v>0</v>
      </c>
      <c r="L178" t="n">
        <v>0</v>
      </c>
      <c r="M178" t="n">
        <v>0</v>
      </c>
      <c r="N178" t="n">
        <v>0</v>
      </c>
      <c r="O178" t="n">
        <v>0</v>
      </c>
      <c r="P178" t="n">
        <v>0</v>
      </c>
      <c r="Q178" t="n">
        <v>0</v>
      </c>
      <c r="R178" t="n">
        <v>0</v>
      </c>
      <c r="S178" t="n">
        <v>0</v>
      </c>
      <c r="T178" t="n">
        <v>0</v>
      </c>
      <c r="U178" s="2" t="inlineStr"/>
    </row>
    <row r="179" ht="15" customHeight="1">
      <c r="A179" t="inlineStr">
        <is>
          <t>A 11653-2026</t>
        </is>
      </c>
      <c r="B179" t="inlineStr">
        <is>
          <t>avverkningsanmälan</t>
        </is>
      </c>
      <c r="C179" t="inlineStr">
        <is>
          <t>Föryngringsavverkning</t>
        </is>
      </c>
      <c r="D179" s="1" t="n">
        <v>46084</v>
      </c>
      <c r="E179" s="1" t="n">
        <v>46222</v>
      </c>
      <c r="F179" t="inlineStr">
        <is>
          <t>ÖREBRO LÄN</t>
        </is>
      </c>
      <c r="G179" t="inlineStr">
        <is>
          <t>LAXÅ</t>
        </is>
      </c>
      <c r="H179" t="inlineStr">
        <is>
          <t>Sveaskog</t>
        </is>
      </c>
      <c r="I179" t="n">
        <v>8.1</v>
      </c>
      <c r="J179" t="n">
        <v>0</v>
      </c>
      <c r="K179" t="n">
        <v>0</v>
      </c>
      <c r="L179" t="n">
        <v>0</v>
      </c>
      <c r="M179" t="n">
        <v>0</v>
      </c>
      <c r="N179" t="n">
        <v>0</v>
      </c>
      <c r="O179" t="n">
        <v>0</v>
      </c>
      <c r="P179" t="n">
        <v>0</v>
      </c>
      <c r="Q179" t="n">
        <v>0</v>
      </c>
      <c r="R179" t="n">
        <v>0</v>
      </c>
      <c r="S179" t="n">
        <v>0</v>
      </c>
      <c r="T179" t="n">
        <v>0</v>
      </c>
      <c r="U179" s="2" t="inlineStr"/>
    </row>
    <row r="180" ht="15" customHeight="1">
      <c r="A180" t="inlineStr">
        <is>
          <t>A 19816-2025</t>
        </is>
      </c>
      <c r="B180" t="inlineStr">
        <is>
          <t>avverkningsanmälan</t>
        </is>
      </c>
      <c r="C180" t="inlineStr">
        <is>
          <t>Föryngringsavverkning</t>
        </is>
      </c>
      <c r="D180" s="1" t="n">
        <v>45771</v>
      </c>
      <c r="E180" s="1" t="n">
        <v>46222</v>
      </c>
      <c r="F180" t="inlineStr">
        <is>
          <t>ÖREBRO LÄN</t>
        </is>
      </c>
      <c r="G180" t="inlineStr">
        <is>
          <t>LAXÅ</t>
        </is>
      </c>
      <c r="H180" t="inlineStr">
        <is>
          <t>Sveaskog</t>
        </is>
      </c>
      <c r="I180" t="n">
        <v>4.3</v>
      </c>
      <c r="J180" t="n">
        <v>0</v>
      </c>
      <c r="K180" t="n">
        <v>0</v>
      </c>
      <c r="L180" t="n">
        <v>0</v>
      </c>
      <c r="M180" t="n">
        <v>0</v>
      </c>
      <c r="N180" t="n">
        <v>0</v>
      </c>
      <c r="O180" t="n">
        <v>0</v>
      </c>
      <c r="P180" t="n">
        <v>0</v>
      </c>
      <c r="Q180" t="n">
        <v>0</v>
      </c>
      <c r="R180" t="n">
        <v>0</v>
      </c>
      <c r="S180" t="n">
        <v>0</v>
      </c>
      <c r="T180" t="n">
        <v>0</v>
      </c>
      <c r="U180" s="2" t="inlineStr"/>
    </row>
    <row r="181" ht="15" customHeight="1">
      <c r="A181" t="inlineStr">
        <is>
          <t>A 19820-2025</t>
        </is>
      </c>
      <c r="B181" t="inlineStr">
        <is>
          <t>avverkningsanmälan</t>
        </is>
      </c>
      <c r="C181" t="inlineStr">
        <is>
          <t>Föryngringsavverkning</t>
        </is>
      </c>
      <c r="D181" s="1" t="n">
        <v>45771</v>
      </c>
      <c r="E181" s="1" t="n">
        <v>46222</v>
      </c>
      <c r="F181" t="inlineStr">
        <is>
          <t>ÖREBRO LÄN</t>
        </is>
      </c>
      <c r="G181" t="inlineStr">
        <is>
          <t>LAXÅ</t>
        </is>
      </c>
      <c r="H181" t="inlineStr">
        <is>
          <t>Sveaskog</t>
        </is>
      </c>
      <c r="I181" t="n">
        <v>3.4</v>
      </c>
      <c r="J181" t="n">
        <v>0</v>
      </c>
      <c r="K181" t="n">
        <v>0</v>
      </c>
      <c r="L181" t="n">
        <v>0</v>
      </c>
      <c r="M181" t="n">
        <v>0</v>
      </c>
      <c r="N181" t="n">
        <v>0</v>
      </c>
      <c r="O181" t="n">
        <v>0</v>
      </c>
      <c r="P181" t="n">
        <v>0</v>
      </c>
      <c r="Q181" t="n">
        <v>0</v>
      </c>
      <c r="R181" t="n">
        <v>0</v>
      </c>
      <c r="S181" t="n">
        <v>0</v>
      </c>
      <c r="T181" t="n">
        <v>0</v>
      </c>
      <c r="U181" s="2" t="inlineStr"/>
    </row>
    <row r="182" ht="15" customHeight="1">
      <c r="A182" t="inlineStr">
        <is>
          <t>A 58052-2023</t>
        </is>
      </c>
      <c r="B182" t="inlineStr">
        <is>
          <t>avverkningsanmälan</t>
        </is>
      </c>
      <c r="C182" t="inlineStr">
        <is>
          <t>Föryngringsavverkning</t>
        </is>
      </c>
      <c r="D182" s="1" t="n">
        <v>45245</v>
      </c>
      <c r="E182" s="1" t="n">
        <v>46222</v>
      </c>
      <c r="F182" t="inlineStr">
        <is>
          <t>ÖREBRO LÄN</t>
        </is>
      </c>
      <c r="G182" t="inlineStr">
        <is>
          <t>LAXÅ</t>
        </is>
      </c>
      <c r="I182" t="n">
        <v>6.5</v>
      </c>
      <c r="J182" t="n">
        <v>0</v>
      </c>
      <c r="K182" t="n">
        <v>0</v>
      </c>
      <c r="L182" t="n">
        <v>0</v>
      </c>
      <c r="M182" t="n">
        <v>0</v>
      </c>
      <c r="N182" t="n">
        <v>0</v>
      </c>
      <c r="O182" t="n">
        <v>0</v>
      </c>
      <c r="P182" t="n">
        <v>0</v>
      </c>
      <c r="Q182" t="n">
        <v>0</v>
      </c>
      <c r="R182" t="n">
        <v>0</v>
      </c>
      <c r="S182" t="n">
        <v>0</v>
      </c>
      <c r="T182" t="n">
        <v>0</v>
      </c>
      <c r="U182" s="2" t="inlineStr"/>
    </row>
    <row r="183" ht="15" customHeight="1">
      <c r="A183" t="inlineStr">
        <is>
          <t>A 11851-2026</t>
        </is>
      </c>
      <c r="B183" t="inlineStr">
        <is>
          <t>avverkningsanmälan</t>
        </is>
      </c>
      <c r="C183" t="inlineStr">
        <is>
          <t>Föryngringsavverkning</t>
        </is>
      </c>
      <c r="D183" s="1" t="n">
        <v>46085</v>
      </c>
      <c r="E183" s="1" t="n">
        <v>46222</v>
      </c>
      <c r="F183" t="inlineStr">
        <is>
          <t>ÖREBRO LÄN</t>
        </is>
      </c>
      <c r="G183" t="inlineStr">
        <is>
          <t>LAXÅ</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62405-2021</t>
        </is>
      </c>
      <c r="B184" t="inlineStr">
        <is>
          <t>avverkningsanmälan</t>
        </is>
      </c>
      <c r="C184" t="inlineStr">
        <is>
          <t>Föryngringsavverkning</t>
        </is>
      </c>
      <c r="D184" s="1" t="n">
        <v>44503</v>
      </c>
      <c r="E184" s="1" t="n">
        <v>46222</v>
      </c>
      <c r="F184" t="inlineStr">
        <is>
          <t>ÖREBRO LÄN</t>
        </is>
      </c>
      <c r="G184" t="inlineStr">
        <is>
          <t>LAXÅ</t>
        </is>
      </c>
      <c r="H184" t="inlineStr">
        <is>
          <t>Sveaskog</t>
        </is>
      </c>
      <c r="I184" t="n">
        <v>5.3</v>
      </c>
      <c r="J184" t="n">
        <v>0</v>
      </c>
      <c r="K184" t="n">
        <v>0</v>
      </c>
      <c r="L184" t="n">
        <v>0</v>
      </c>
      <c r="M184" t="n">
        <v>0</v>
      </c>
      <c r="N184" t="n">
        <v>0</v>
      </c>
      <c r="O184" t="n">
        <v>0</v>
      </c>
      <c r="P184" t="n">
        <v>0</v>
      </c>
      <c r="Q184" t="n">
        <v>0</v>
      </c>
      <c r="R184" t="n">
        <v>0</v>
      </c>
      <c r="S184" t="n">
        <v>0</v>
      </c>
      <c r="T184" t="n">
        <v>0</v>
      </c>
      <c r="U184" s="2" t="inlineStr"/>
    </row>
    <row r="185" ht="15" customHeight="1">
      <c r="A185" t="inlineStr">
        <is>
          <t>A 60748-2023</t>
        </is>
      </c>
      <c r="B185" t="inlineStr">
        <is>
          <t>avverkningsanmälan</t>
        </is>
      </c>
      <c r="C185" t="inlineStr">
        <is>
          <t>Föryngringsavverkning</t>
        </is>
      </c>
      <c r="D185" s="1" t="n">
        <v>45260</v>
      </c>
      <c r="E185" s="1" t="n">
        <v>46222</v>
      </c>
      <c r="F185" t="inlineStr">
        <is>
          <t>ÖREBRO LÄN</t>
        </is>
      </c>
      <c r="G185" t="inlineStr">
        <is>
          <t>LAXÅ</t>
        </is>
      </c>
      <c r="H185" t="inlineStr">
        <is>
          <t>Sveaskog</t>
        </is>
      </c>
      <c r="I185" t="n">
        <v>3</v>
      </c>
      <c r="J185" t="n">
        <v>0</v>
      </c>
      <c r="K185" t="n">
        <v>0</v>
      </c>
      <c r="L185" t="n">
        <v>0</v>
      </c>
      <c r="M185" t="n">
        <v>0</v>
      </c>
      <c r="N185" t="n">
        <v>0</v>
      </c>
      <c r="O185" t="n">
        <v>0</v>
      </c>
      <c r="P185" t="n">
        <v>0</v>
      </c>
      <c r="Q185" t="n">
        <v>0</v>
      </c>
      <c r="R185" t="n">
        <v>0</v>
      </c>
      <c r="S185" t="n">
        <v>0</v>
      </c>
      <c r="T185" t="n">
        <v>0</v>
      </c>
      <c r="U185" s="2" t="inlineStr"/>
    </row>
    <row r="186" ht="15" customHeight="1">
      <c r="A186" t="inlineStr">
        <is>
          <t>A 58690-2025</t>
        </is>
      </c>
      <c r="B186" t="inlineStr">
        <is>
          <t>avverkningsanmälan</t>
        </is>
      </c>
      <c r="C186" t="inlineStr">
        <is>
          <t>Föryngringsavverkning</t>
        </is>
      </c>
      <c r="D186" s="1" t="n">
        <v>45986</v>
      </c>
      <c r="E186" s="1" t="n">
        <v>46222</v>
      </c>
      <c r="F186" t="inlineStr">
        <is>
          <t>ÖREBRO LÄN</t>
        </is>
      </c>
      <c r="G186" t="inlineStr">
        <is>
          <t>LAXÅ</t>
        </is>
      </c>
      <c r="H186" t="inlineStr">
        <is>
          <t>Sveaskog</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46487-2021</t>
        </is>
      </c>
      <c r="B187" t="inlineStr">
        <is>
          <t>avverkningsanmälan</t>
        </is>
      </c>
      <c r="C187" t="inlineStr">
        <is>
          <t>Föryngringsavverkning</t>
        </is>
      </c>
      <c r="D187" s="1" t="n">
        <v>44445</v>
      </c>
      <c r="E187" s="1" t="n">
        <v>46222</v>
      </c>
      <c r="F187" t="inlineStr">
        <is>
          <t>ÖREBRO LÄN</t>
        </is>
      </c>
      <c r="G187" t="inlineStr">
        <is>
          <t>LAXÅ</t>
        </is>
      </c>
      <c r="H187" t="inlineStr">
        <is>
          <t>Sveaskog</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59770-2025</t>
        </is>
      </c>
      <c r="B188" t="inlineStr">
        <is>
          <t>avverkningsanmälan</t>
        </is>
      </c>
      <c r="C188" t="inlineStr">
        <is>
          <t>Föryngringsavverkning</t>
        </is>
      </c>
      <c r="D188" s="1" t="n">
        <v>45992</v>
      </c>
      <c r="E188" s="1" t="n">
        <v>46222</v>
      </c>
      <c r="F188" t="inlineStr">
        <is>
          <t>ÖREBRO LÄN</t>
        </is>
      </c>
      <c r="G188" t="inlineStr">
        <is>
          <t>LAXÅ</t>
        </is>
      </c>
      <c r="H188" t="inlineStr">
        <is>
          <t>Sveaskog</t>
        </is>
      </c>
      <c r="I188" t="n">
        <v>5.7</v>
      </c>
      <c r="J188" t="n">
        <v>0</v>
      </c>
      <c r="K188" t="n">
        <v>0</v>
      </c>
      <c r="L188" t="n">
        <v>0</v>
      </c>
      <c r="M188" t="n">
        <v>0</v>
      </c>
      <c r="N188" t="n">
        <v>0</v>
      </c>
      <c r="O188" t="n">
        <v>0</v>
      </c>
      <c r="P188" t="n">
        <v>0</v>
      </c>
      <c r="Q188" t="n">
        <v>0</v>
      </c>
      <c r="R188" t="n">
        <v>0</v>
      </c>
      <c r="S188" t="n">
        <v>0</v>
      </c>
      <c r="T188" t="n">
        <v>0</v>
      </c>
      <c r="U188" s="2" t="inlineStr"/>
    </row>
    <row r="189" ht="15" customHeight="1">
      <c r="A189" t="inlineStr">
        <is>
          <t>A 55207-2021</t>
        </is>
      </c>
      <c r="B189" t="inlineStr">
        <is>
          <t>avverkningsanmälan</t>
        </is>
      </c>
      <c r="C189" t="inlineStr">
        <is>
          <t>Föryngringsavverkning</t>
        </is>
      </c>
      <c r="D189" s="1" t="n">
        <v>44475</v>
      </c>
      <c r="E189" s="1" t="n">
        <v>46222</v>
      </c>
      <c r="F189" t="inlineStr">
        <is>
          <t>ÖREBRO LÄN</t>
        </is>
      </c>
      <c r="G189" t="inlineStr">
        <is>
          <t>LAXÅ</t>
        </is>
      </c>
      <c r="H189" t="inlineStr">
        <is>
          <t>Sveaskog</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57806-2021</t>
        </is>
      </c>
      <c r="B190" t="inlineStr">
        <is>
          <t>avverkningsanmälan</t>
        </is>
      </c>
      <c r="C190" t="inlineStr">
        <is>
          <t>Föryngringsavverkning</t>
        </is>
      </c>
      <c r="D190" s="1" t="n">
        <v>44484</v>
      </c>
      <c r="E190" s="1" t="n">
        <v>46222</v>
      </c>
      <c r="F190" t="inlineStr">
        <is>
          <t>ÖREBRO LÄN</t>
        </is>
      </c>
      <c r="G190" t="inlineStr">
        <is>
          <t>LAXÅ</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25744-2023</t>
        </is>
      </c>
      <c r="B191" t="inlineStr">
        <is>
          <t>avverkningsanmälan</t>
        </is>
      </c>
      <c r="C191" t="inlineStr">
        <is>
          <t>Föryngringsavverkning</t>
        </is>
      </c>
      <c r="D191" s="1" t="n">
        <v>45090</v>
      </c>
      <c r="E191" s="1" t="n">
        <v>46222</v>
      </c>
      <c r="F191" t="inlineStr">
        <is>
          <t>ÖREBRO LÄN</t>
        </is>
      </c>
      <c r="G191" t="inlineStr">
        <is>
          <t>LAXÅ</t>
        </is>
      </c>
      <c r="H191" t="inlineStr">
        <is>
          <t>Sveaskog</t>
        </is>
      </c>
      <c r="I191" t="n">
        <v>3.2</v>
      </c>
      <c r="J191" t="n">
        <v>0</v>
      </c>
      <c r="K191" t="n">
        <v>0</v>
      </c>
      <c r="L191" t="n">
        <v>0</v>
      </c>
      <c r="M191" t="n">
        <v>0</v>
      </c>
      <c r="N191" t="n">
        <v>0</v>
      </c>
      <c r="O191" t="n">
        <v>0</v>
      </c>
      <c r="P191" t="n">
        <v>0</v>
      </c>
      <c r="Q191" t="n">
        <v>0</v>
      </c>
      <c r="R191" t="n">
        <v>0</v>
      </c>
      <c r="S191" t="n">
        <v>0</v>
      </c>
      <c r="T191" t="n">
        <v>0</v>
      </c>
      <c r="U191" s="2" t="inlineStr"/>
    </row>
    <row r="192" ht="15" customHeight="1">
      <c r="A192" t="inlineStr">
        <is>
          <t>A 57747-2022</t>
        </is>
      </c>
      <c r="B192" t="inlineStr">
        <is>
          <t>avverkningsanmälan</t>
        </is>
      </c>
      <c r="C192" t="inlineStr">
        <is>
          <t>Föryngringsavverkning</t>
        </is>
      </c>
      <c r="D192" s="1" t="n">
        <v>44897</v>
      </c>
      <c r="E192" s="1" t="n">
        <v>46222</v>
      </c>
      <c r="F192" t="inlineStr">
        <is>
          <t>ÖREBRO LÄN</t>
        </is>
      </c>
      <c r="G192" t="inlineStr">
        <is>
          <t>LAXÅ</t>
        </is>
      </c>
      <c r="H192" t="inlineStr">
        <is>
          <t>Sveaskog</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60685-2025</t>
        </is>
      </c>
      <c r="B193" t="inlineStr">
        <is>
          <t>avverkningsanmälan</t>
        </is>
      </c>
      <c r="C193" t="inlineStr">
        <is>
          <t>Föryngringsavverkning</t>
        </is>
      </c>
      <c r="D193" s="1" t="n">
        <v>45996</v>
      </c>
      <c r="E193" s="1" t="n">
        <v>46222</v>
      </c>
      <c r="F193" t="inlineStr">
        <is>
          <t>ÖREBRO LÄN</t>
        </is>
      </c>
      <c r="G193" t="inlineStr">
        <is>
          <t>LAXÅ</t>
        </is>
      </c>
      <c r="H193" t="inlineStr">
        <is>
          <t>Sveaskog</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46134-2021</t>
        </is>
      </c>
      <c r="B194" t="inlineStr">
        <is>
          <t>avverkningsanmälan</t>
        </is>
      </c>
      <c r="C194" t="inlineStr">
        <is>
          <t>Föryngringsavverkning</t>
        </is>
      </c>
      <c r="D194" s="1" t="n">
        <v>44441</v>
      </c>
      <c r="E194" s="1" t="n">
        <v>46222</v>
      </c>
      <c r="F194" t="inlineStr">
        <is>
          <t>ÖREBRO LÄN</t>
        </is>
      </c>
      <c r="G194" t="inlineStr">
        <is>
          <t>LAXÅ</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56135-2022</t>
        </is>
      </c>
      <c r="B195" t="inlineStr">
        <is>
          <t>avverkningsanmälan</t>
        </is>
      </c>
      <c r="C195" t="inlineStr">
        <is>
          <t>Föryngringsavverkning</t>
        </is>
      </c>
      <c r="D195" s="1" t="n">
        <v>44886</v>
      </c>
      <c r="E195" s="1" t="n">
        <v>46222</v>
      </c>
      <c r="F195" t="inlineStr">
        <is>
          <t>ÖREBRO LÄN</t>
        </is>
      </c>
      <c r="G195" t="inlineStr">
        <is>
          <t>LAXÅ</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52751-2021</t>
        </is>
      </c>
      <c r="B196" t="inlineStr">
        <is>
          <t>avverkningsanmälan</t>
        </is>
      </c>
      <c r="C196" t="inlineStr">
        <is>
          <t>Avverkning för att bevara och utveckla /försöksver</t>
        </is>
      </c>
      <c r="D196" s="1" t="n">
        <v>44467</v>
      </c>
      <c r="E196" s="1" t="n">
        <v>46222</v>
      </c>
      <c r="F196" t="inlineStr">
        <is>
          <t>ÖREBRO LÄN</t>
        </is>
      </c>
      <c r="G196" t="inlineStr">
        <is>
          <t>LAXÅ</t>
        </is>
      </c>
      <c r="H196" t="inlineStr">
        <is>
          <t>Sveaskog</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15213-2024</t>
        </is>
      </c>
      <c r="B197" t="inlineStr">
        <is>
          <t>avverkningsanmälan</t>
        </is>
      </c>
      <c r="C197" t="inlineStr">
        <is>
          <t>Föryngringsavverkning</t>
        </is>
      </c>
      <c r="D197" s="1" t="n">
        <v>45400</v>
      </c>
      <c r="E197" s="1" t="n">
        <v>46222</v>
      </c>
      <c r="F197" t="inlineStr">
        <is>
          <t>ÖREBRO LÄN</t>
        </is>
      </c>
      <c r="G197" t="inlineStr">
        <is>
          <t>LAXÅ</t>
        </is>
      </c>
      <c r="H197" t="inlineStr">
        <is>
          <t>Sveaskog</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62029-2025</t>
        </is>
      </c>
      <c r="B198" t="inlineStr">
        <is>
          <t>avverkningsanmälan</t>
        </is>
      </c>
      <c r="C198" t="inlineStr">
        <is>
          <t>Föryngringsavverkning</t>
        </is>
      </c>
      <c r="D198" s="1" t="n">
        <v>46003</v>
      </c>
      <c r="E198" s="1" t="n">
        <v>46222</v>
      </c>
      <c r="F198" t="inlineStr">
        <is>
          <t>ÖREBRO LÄN</t>
        </is>
      </c>
      <c r="G198" t="inlineStr">
        <is>
          <t>LAXÅ</t>
        </is>
      </c>
      <c r="I198" t="n">
        <v>6.1</v>
      </c>
      <c r="J198" t="n">
        <v>0</v>
      </c>
      <c r="K198" t="n">
        <v>0</v>
      </c>
      <c r="L198" t="n">
        <v>0</v>
      </c>
      <c r="M198" t="n">
        <v>0</v>
      </c>
      <c r="N198" t="n">
        <v>0</v>
      </c>
      <c r="O198" t="n">
        <v>0</v>
      </c>
      <c r="P198" t="n">
        <v>0</v>
      </c>
      <c r="Q198" t="n">
        <v>0</v>
      </c>
      <c r="R198" t="n">
        <v>0</v>
      </c>
      <c r="S198" t="n">
        <v>0</v>
      </c>
      <c r="T198" t="n">
        <v>0</v>
      </c>
      <c r="U198" s="2" t="inlineStr"/>
    </row>
    <row r="199" ht="15" customHeight="1">
      <c r="A199" t="inlineStr">
        <is>
          <t>A 14205-2025</t>
        </is>
      </c>
      <c r="B199" t="inlineStr">
        <is>
          <t>avverkningsanmälan</t>
        </is>
      </c>
      <c r="C199" t="inlineStr">
        <is>
          <t>Avverkning för att bevara och utveckla /försöksver</t>
        </is>
      </c>
      <c r="D199" s="1" t="n">
        <v>45740</v>
      </c>
      <c r="E199" s="1" t="n">
        <v>46222</v>
      </c>
      <c r="F199" t="inlineStr">
        <is>
          <t>ÖREBRO LÄN</t>
        </is>
      </c>
      <c r="G199" t="inlineStr">
        <is>
          <t>LAXÅ</t>
        </is>
      </c>
      <c r="H199" t="inlineStr">
        <is>
          <t>Sveaskog</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6305-2024</t>
        </is>
      </c>
      <c r="B200" t="inlineStr">
        <is>
          <t>avverkningsanmälan</t>
        </is>
      </c>
      <c r="C200" t="inlineStr">
        <is>
          <t>Föryngringsavverkning</t>
        </is>
      </c>
      <c r="D200" s="1" t="n">
        <v>45338</v>
      </c>
      <c r="E200" s="1" t="n">
        <v>46222</v>
      </c>
      <c r="F200" t="inlineStr">
        <is>
          <t>ÖREBRO LÄN</t>
        </is>
      </c>
      <c r="G200" t="inlineStr">
        <is>
          <t>LAXÅ</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36420-2024</t>
        </is>
      </c>
      <c r="B201" t="inlineStr">
        <is>
          <t>avverkningsanmälan</t>
        </is>
      </c>
      <c r="C201" t="inlineStr">
        <is>
          <t>Föryngringsavverkning</t>
        </is>
      </c>
      <c r="D201" s="1" t="n">
        <v>45536</v>
      </c>
      <c r="E201" s="1" t="n">
        <v>46222</v>
      </c>
      <c r="F201" t="inlineStr">
        <is>
          <t>ÖREBRO LÄN</t>
        </is>
      </c>
      <c r="G201" t="inlineStr">
        <is>
          <t>LAXÅ</t>
        </is>
      </c>
      <c r="I201" t="n">
        <v>2.4</v>
      </c>
      <c r="J201" t="n">
        <v>0</v>
      </c>
      <c r="K201" t="n">
        <v>0</v>
      </c>
      <c r="L201" t="n">
        <v>0</v>
      </c>
      <c r="M201" t="n">
        <v>0</v>
      </c>
      <c r="N201" t="n">
        <v>0</v>
      </c>
      <c r="O201" t="n">
        <v>0</v>
      </c>
      <c r="P201" t="n">
        <v>0</v>
      </c>
      <c r="Q201" t="n">
        <v>0</v>
      </c>
      <c r="R201" t="n">
        <v>0</v>
      </c>
      <c r="S201" t="n">
        <v>0</v>
      </c>
      <c r="T201" t="n">
        <v>0</v>
      </c>
      <c r="U201" s="2" t="inlineStr"/>
    </row>
    <row r="202" ht="15" customHeight="1">
      <c r="A202" t="inlineStr">
        <is>
          <t>A 50265-2024</t>
        </is>
      </c>
      <c r="B202" t="inlineStr">
        <is>
          <t>avverkningsanmälan</t>
        </is>
      </c>
      <c r="C202" t="inlineStr">
        <is>
          <t>Föryngringsavverkning</t>
        </is>
      </c>
      <c r="D202" s="1" t="n">
        <v>45600</v>
      </c>
      <c r="E202" s="1" t="n">
        <v>46222</v>
      </c>
      <c r="F202" t="inlineStr">
        <is>
          <t>ÖREBRO LÄN</t>
        </is>
      </c>
      <c r="G202" t="inlineStr">
        <is>
          <t>LAXÅ</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14876-2026</t>
        </is>
      </c>
      <c r="B203" t="inlineStr">
        <is>
          <t>avverkningsanmälan</t>
        </is>
      </c>
      <c r="C203" t="inlineStr">
        <is>
          <t>Föryngringsavverkning</t>
        </is>
      </c>
      <c r="D203" s="1" t="n">
        <v>46104</v>
      </c>
      <c r="E203" s="1" t="n">
        <v>46222</v>
      </c>
      <c r="F203" t="inlineStr">
        <is>
          <t>ÖREBRO LÄN</t>
        </is>
      </c>
      <c r="G203" t="inlineStr">
        <is>
          <t>LAXÅ</t>
        </is>
      </c>
      <c r="H203" t="inlineStr">
        <is>
          <t>Sveaskog</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15341-2026</t>
        </is>
      </c>
      <c r="B204" t="inlineStr">
        <is>
          <t>avverkningsanmälan</t>
        </is>
      </c>
      <c r="C204" t="inlineStr">
        <is>
          <t>Föryngringsavverkning</t>
        </is>
      </c>
      <c r="D204" s="1" t="n">
        <v>46105</v>
      </c>
      <c r="E204" s="1" t="n">
        <v>46222</v>
      </c>
      <c r="F204" t="inlineStr">
        <is>
          <t>ÖREBRO LÄN</t>
        </is>
      </c>
      <c r="G204" t="inlineStr">
        <is>
          <t>LAXÅ</t>
        </is>
      </c>
      <c r="H204" t="inlineStr">
        <is>
          <t>Sveaskog</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14877-2026</t>
        </is>
      </c>
      <c r="B205" t="inlineStr">
        <is>
          <t>avverkningsanmälan</t>
        </is>
      </c>
      <c r="C205" t="inlineStr">
        <is>
          <t>Föryngringsavverkning</t>
        </is>
      </c>
      <c r="D205" s="1" t="n">
        <v>46104</v>
      </c>
      <c r="E205" s="1" t="n">
        <v>46222</v>
      </c>
      <c r="F205" t="inlineStr">
        <is>
          <t>ÖREBRO LÄN</t>
        </is>
      </c>
      <c r="G205" t="inlineStr">
        <is>
          <t>LAXÅ</t>
        </is>
      </c>
      <c r="H205" t="inlineStr">
        <is>
          <t>Sveaskog</t>
        </is>
      </c>
      <c r="I205" t="n">
        <v>4</v>
      </c>
      <c r="J205" t="n">
        <v>0</v>
      </c>
      <c r="K205" t="n">
        <v>0</v>
      </c>
      <c r="L205" t="n">
        <v>0</v>
      </c>
      <c r="M205" t="n">
        <v>0</v>
      </c>
      <c r="N205" t="n">
        <v>0</v>
      </c>
      <c r="O205" t="n">
        <v>0</v>
      </c>
      <c r="P205" t="n">
        <v>0</v>
      </c>
      <c r="Q205" t="n">
        <v>0</v>
      </c>
      <c r="R205" t="n">
        <v>0</v>
      </c>
      <c r="S205" t="n">
        <v>0</v>
      </c>
      <c r="T205" t="n">
        <v>0</v>
      </c>
      <c r="U205" s="2" t="inlineStr"/>
    </row>
    <row r="206" ht="15" customHeight="1">
      <c r="A206" t="inlineStr">
        <is>
          <t>A 15317-2026</t>
        </is>
      </c>
      <c r="B206" t="inlineStr">
        <is>
          <t>avverkningsanmälan</t>
        </is>
      </c>
      <c r="C206" t="inlineStr">
        <is>
          <t>Föryngringsavverkning</t>
        </is>
      </c>
      <c r="D206" s="1" t="n">
        <v>46105</v>
      </c>
      <c r="E206" s="1" t="n">
        <v>46222</v>
      </c>
      <c r="F206" t="inlineStr">
        <is>
          <t>ÖREBRO LÄN</t>
        </is>
      </c>
      <c r="G206" t="inlineStr">
        <is>
          <t>LAXÅ</t>
        </is>
      </c>
      <c r="H206" t="inlineStr">
        <is>
          <t>Sveaskog</t>
        </is>
      </c>
      <c r="I206" t="n">
        <v>1.7</v>
      </c>
      <c r="J206" t="n">
        <v>0</v>
      </c>
      <c r="K206" t="n">
        <v>0</v>
      </c>
      <c r="L206" t="n">
        <v>0</v>
      </c>
      <c r="M206" t="n">
        <v>0</v>
      </c>
      <c r="N206" t="n">
        <v>0</v>
      </c>
      <c r="O206" t="n">
        <v>0</v>
      </c>
      <c r="P206" t="n">
        <v>0</v>
      </c>
      <c r="Q206" t="n">
        <v>0</v>
      </c>
      <c r="R206" t="n">
        <v>0</v>
      </c>
      <c r="S206" t="n">
        <v>0</v>
      </c>
      <c r="T206" t="n">
        <v>0</v>
      </c>
      <c r="U206" s="2" t="inlineStr"/>
    </row>
    <row r="207" ht="15" customHeight="1">
      <c r="A207" t="inlineStr">
        <is>
          <t>A 38620-2023</t>
        </is>
      </c>
      <c r="B207" t="inlineStr">
        <is>
          <t>avverkningsanmälan</t>
        </is>
      </c>
      <c r="C207" t="inlineStr">
        <is>
          <t>Föryngringsavverkning</t>
        </is>
      </c>
      <c r="D207" s="1" t="n">
        <v>45160</v>
      </c>
      <c r="E207" s="1" t="n">
        <v>46222</v>
      </c>
      <c r="F207" t="inlineStr">
        <is>
          <t>ÖREBRO LÄN</t>
        </is>
      </c>
      <c r="G207" t="inlineStr">
        <is>
          <t>LAXÅ</t>
        </is>
      </c>
      <c r="I207" t="n">
        <v>3.2</v>
      </c>
      <c r="J207" t="n">
        <v>0</v>
      </c>
      <c r="K207" t="n">
        <v>0</v>
      </c>
      <c r="L207" t="n">
        <v>0</v>
      </c>
      <c r="M207" t="n">
        <v>0</v>
      </c>
      <c r="N207" t="n">
        <v>0</v>
      </c>
      <c r="O207" t="n">
        <v>0</v>
      </c>
      <c r="P207" t="n">
        <v>0</v>
      </c>
      <c r="Q207" t="n">
        <v>0</v>
      </c>
      <c r="R207" t="n">
        <v>0</v>
      </c>
      <c r="S207" t="n">
        <v>0</v>
      </c>
      <c r="T207" t="n">
        <v>0</v>
      </c>
      <c r="U207" s="2" t="inlineStr"/>
    </row>
    <row r="208" ht="15" customHeight="1">
      <c r="A208" t="inlineStr">
        <is>
          <t>A 15314-2026</t>
        </is>
      </c>
      <c r="B208" t="inlineStr">
        <is>
          <t>avverkningsanmälan</t>
        </is>
      </c>
      <c r="C208" t="inlineStr">
        <is>
          <t>Föryngringsavverkning</t>
        </is>
      </c>
      <c r="D208" s="1" t="n">
        <v>46105</v>
      </c>
      <c r="E208" s="1" t="n">
        <v>46222</v>
      </c>
      <c r="F208" t="inlineStr">
        <is>
          <t>ÖREBRO LÄN</t>
        </is>
      </c>
      <c r="G208" t="inlineStr">
        <is>
          <t>LAXÅ</t>
        </is>
      </c>
      <c r="H208" t="inlineStr">
        <is>
          <t>Sveaskog</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7132-2024</t>
        </is>
      </c>
      <c r="B209" t="inlineStr">
        <is>
          <t>avverkningsanmälan</t>
        </is>
      </c>
      <c r="C209" t="inlineStr">
        <is>
          <t>Föryngringsavverkning</t>
        </is>
      </c>
      <c r="D209" s="1" t="n">
        <v>45344</v>
      </c>
      <c r="E209" s="1" t="n">
        <v>46222</v>
      </c>
      <c r="F209" t="inlineStr">
        <is>
          <t>ÖREBRO LÄN</t>
        </is>
      </c>
      <c r="G209" t="inlineStr">
        <is>
          <t>LAXÅ</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61051-2023</t>
        </is>
      </c>
      <c r="B210" t="inlineStr">
        <is>
          <t>avverkningsanmälan</t>
        </is>
      </c>
      <c r="C210" t="inlineStr">
        <is>
          <t>Föryngringsavverkning</t>
        </is>
      </c>
      <c r="D210" s="1" t="n">
        <v>45261</v>
      </c>
      <c r="E210" s="1" t="n">
        <v>46222</v>
      </c>
      <c r="F210" t="inlineStr">
        <is>
          <t>ÖREBRO LÄN</t>
        </is>
      </c>
      <c r="G210" t="inlineStr">
        <is>
          <t>LAXÅ</t>
        </is>
      </c>
      <c r="H210" t="inlineStr">
        <is>
          <t>Sveaskog</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598-2026</t>
        </is>
      </c>
      <c r="B211" t="inlineStr">
        <is>
          <t>avverkningsanmälan</t>
        </is>
      </c>
      <c r="C211" t="inlineStr">
        <is>
          <t>Föryngringsavverkning</t>
        </is>
      </c>
      <c r="D211" s="1" t="n">
        <v>46029</v>
      </c>
      <c r="E211" s="1" t="n">
        <v>46222</v>
      </c>
      <c r="F211" t="inlineStr">
        <is>
          <t>ÖREBRO LÄN</t>
        </is>
      </c>
      <c r="G211" t="inlineStr">
        <is>
          <t>LAXÅ</t>
        </is>
      </c>
      <c r="H211" t="inlineStr">
        <is>
          <t>Sveaskog</t>
        </is>
      </c>
      <c r="I211" t="n">
        <v>5.2</v>
      </c>
      <c r="J211" t="n">
        <v>0</v>
      </c>
      <c r="K211" t="n">
        <v>0</v>
      </c>
      <c r="L211" t="n">
        <v>0</v>
      </c>
      <c r="M211" t="n">
        <v>0</v>
      </c>
      <c r="N211" t="n">
        <v>0</v>
      </c>
      <c r="O211" t="n">
        <v>0</v>
      </c>
      <c r="P211" t="n">
        <v>0</v>
      </c>
      <c r="Q211" t="n">
        <v>0</v>
      </c>
      <c r="R211" t="n">
        <v>0</v>
      </c>
      <c r="S211" t="n">
        <v>0</v>
      </c>
      <c r="T211" t="n">
        <v>0</v>
      </c>
      <c r="U211" s="2" t="inlineStr"/>
    </row>
    <row r="212" ht="15" customHeight="1">
      <c r="A212" t="inlineStr">
        <is>
          <t>A 9312-2024</t>
        </is>
      </c>
      <c r="B212" t="inlineStr">
        <is>
          <t>avverkningsanmälan</t>
        </is>
      </c>
      <c r="C212" t="inlineStr">
        <is>
          <t>Föryngringsavverkning</t>
        </is>
      </c>
      <c r="D212" s="1" t="n">
        <v>45358</v>
      </c>
      <c r="E212" s="1" t="n">
        <v>46222</v>
      </c>
      <c r="F212" t="inlineStr">
        <is>
          <t>ÖREBRO LÄN</t>
        </is>
      </c>
      <c r="G212" t="inlineStr">
        <is>
          <t>LAXÅ</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15433-2026</t>
        </is>
      </c>
      <c r="B213" t="inlineStr">
        <is>
          <t>avverkningsanmälan</t>
        </is>
      </c>
      <c r="C213" t="inlineStr">
        <is>
          <t>Föryngringsavverkning</t>
        </is>
      </c>
      <c r="D213" s="1" t="n">
        <v>46106</v>
      </c>
      <c r="E213" s="1" t="n">
        <v>46222</v>
      </c>
      <c r="F213" t="inlineStr">
        <is>
          <t>ÖREBRO LÄN</t>
        </is>
      </c>
      <c r="G213" t="inlineStr">
        <is>
          <t>LAXÅ</t>
        </is>
      </c>
      <c r="H213" t="inlineStr">
        <is>
          <t>Sveaskog</t>
        </is>
      </c>
      <c r="I213" t="n">
        <v>12.4</v>
      </c>
      <c r="J213" t="n">
        <v>0</v>
      </c>
      <c r="K213" t="n">
        <v>0</v>
      </c>
      <c r="L213" t="n">
        <v>0</v>
      </c>
      <c r="M213" t="n">
        <v>0</v>
      </c>
      <c r="N213" t="n">
        <v>0</v>
      </c>
      <c r="O213" t="n">
        <v>0</v>
      </c>
      <c r="P213" t="n">
        <v>0</v>
      </c>
      <c r="Q213" t="n">
        <v>0</v>
      </c>
      <c r="R213" t="n">
        <v>0</v>
      </c>
      <c r="S213" t="n">
        <v>0</v>
      </c>
      <c r="T213" t="n">
        <v>0</v>
      </c>
      <c r="U213" s="2" t="inlineStr"/>
    </row>
    <row r="214" ht="15" customHeight="1">
      <c r="A214" t="inlineStr">
        <is>
          <t>A 6178-2024</t>
        </is>
      </c>
      <c r="B214" t="inlineStr">
        <is>
          <t>avverkningsanmälan</t>
        </is>
      </c>
      <c r="C214" t="inlineStr">
        <is>
          <t>Föryngringsavverkning</t>
        </is>
      </c>
      <c r="D214" s="1" t="n">
        <v>45337</v>
      </c>
      <c r="E214" s="1" t="n">
        <v>46222</v>
      </c>
      <c r="F214" t="inlineStr">
        <is>
          <t>ÖREBRO LÄN</t>
        </is>
      </c>
      <c r="G214" t="inlineStr">
        <is>
          <t>LAXÅ</t>
        </is>
      </c>
      <c r="H214" t="inlineStr">
        <is>
          <t>Sveaskog</t>
        </is>
      </c>
      <c r="I214" t="n">
        <v>2.5</v>
      </c>
      <c r="J214" t="n">
        <v>0</v>
      </c>
      <c r="K214" t="n">
        <v>0</v>
      </c>
      <c r="L214" t="n">
        <v>0</v>
      </c>
      <c r="M214" t="n">
        <v>0</v>
      </c>
      <c r="N214" t="n">
        <v>0</v>
      </c>
      <c r="O214" t="n">
        <v>0</v>
      </c>
      <c r="P214" t="n">
        <v>0</v>
      </c>
      <c r="Q214" t="n">
        <v>0</v>
      </c>
      <c r="R214" t="n">
        <v>0</v>
      </c>
      <c r="S214" t="n">
        <v>0</v>
      </c>
      <c r="T214" t="n">
        <v>0</v>
      </c>
      <c r="U214" s="2" t="inlineStr"/>
    </row>
    <row r="215" ht="15" customHeight="1">
      <c r="A215" t="inlineStr">
        <is>
          <t>A 1772-2026</t>
        </is>
      </c>
      <c r="B215" t="inlineStr">
        <is>
          <t>avverkningsanmälan</t>
        </is>
      </c>
      <c r="C215" t="inlineStr">
        <is>
          <t>Föryngringsavverkning</t>
        </is>
      </c>
      <c r="D215" s="1" t="n">
        <v>46034</v>
      </c>
      <c r="E215" s="1" t="n">
        <v>46222</v>
      </c>
      <c r="F215" t="inlineStr">
        <is>
          <t>ÖREBRO LÄN</t>
        </is>
      </c>
      <c r="G215" t="inlineStr">
        <is>
          <t>LAXÅ</t>
        </is>
      </c>
      <c r="H215" t="inlineStr">
        <is>
          <t>Allmännings- och besparingsskogar</t>
        </is>
      </c>
      <c r="I215" t="n">
        <v>4.7</v>
      </c>
      <c r="J215" t="n">
        <v>0</v>
      </c>
      <c r="K215" t="n">
        <v>0</v>
      </c>
      <c r="L215" t="n">
        <v>0</v>
      </c>
      <c r="M215" t="n">
        <v>0</v>
      </c>
      <c r="N215" t="n">
        <v>0</v>
      </c>
      <c r="O215" t="n">
        <v>0</v>
      </c>
      <c r="P215" t="n">
        <v>0</v>
      </c>
      <c r="Q215" t="n">
        <v>0</v>
      </c>
      <c r="R215" t="n">
        <v>0</v>
      </c>
      <c r="S215" t="n">
        <v>0</v>
      </c>
      <c r="T215" t="n">
        <v>0</v>
      </c>
      <c r="U215" s="2" t="inlineStr"/>
    </row>
    <row r="216" ht="15" customHeight="1">
      <c r="A216" t="inlineStr">
        <is>
          <t>A 2332-2026</t>
        </is>
      </c>
      <c r="B216" t="inlineStr">
        <is>
          <t>avverkningsanmälan</t>
        </is>
      </c>
      <c r="C216" t="inlineStr">
        <is>
          <t>Föryngringsavverkning</t>
        </is>
      </c>
      <c r="D216" s="1" t="n">
        <v>46036</v>
      </c>
      <c r="E216" s="1" t="n">
        <v>46222</v>
      </c>
      <c r="F216" t="inlineStr">
        <is>
          <t>ÖREBRO LÄN</t>
        </is>
      </c>
      <c r="G216" t="inlineStr">
        <is>
          <t>LAXÅ</t>
        </is>
      </c>
      <c r="H216" t="inlineStr">
        <is>
          <t>Sveaskog</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1944-2026</t>
        </is>
      </c>
      <c r="B217" t="inlineStr">
        <is>
          <t>avverkningsanmälan</t>
        </is>
      </c>
      <c r="C217" t="inlineStr">
        <is>
          <t>Föryngringsavverkning</t>
        </is>
      </c>
      <c r="D217" s="1" t="n">
        <v>46035</v>
      </c>
      <c r="E217" s="1" t="n">
        <v>46222</v>
      </c>
      <c r="F217" t="inlineStr">
        <is>
          <t>ÖREBRO LÄN</t>
        </is>
      </c>
      <c r="G217" t="inlineStr">
        <is>
          <t>LAXÅ</t>
        </is>
      </c>
      <c r="H217" t="inlineStr">
        <is>
          <t>Sveaskog</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1943-2026</t>
        </is>
      </c>
      <c r="B218" t="inlineStr">
        <is>
          <t>avverkningsanmälan</t>
        </is>
      </c>
      <c r="C218" t="inlineStr">
        <is>
          <t>Föryngringsavverkning</t>
        </is>
      </c>
      <c r="D218" s="1" t="n">
        <v>46035</v>
      </c>
      <c r="E218" s="1" t="n">
        <v>46222</v>
      </c>
      <c r="F218" t="inlineStr">
        <is>
          <t>ÖREBRO LÄN</t>
        </is>
      </c>
      <c r="G218" t="inlineStr">
        <is>
          <t>LAXÅ</t>
        </is>
      </c>
      <c r="H218" t="inlineStr">
        <is>
          <t>Sveaskog</t>
        </is>
      </c>
      <c r="I218" t="n">
        <v>10.9</v>
      </c>
      <c r="J218" t="n">
        <v>0</v>
      </c>
      <c r="K218" t="n">
        <v>0</v>
      </c>
      <c r="L218" t="n">
        <v>0</v>
      </c>
      <c r="M218" t="n">
        <v>0</v>
      </c>
      <c r="N218" t="n">
        <v>0</v>
      </c>
      <c r="O218" t="n">
        <v>0</v>
      </c>
      <c r="P218" t="n">
        <v>0</v>
      </c>
      <c r="Q218" t="n">
        <v>0</v>
      </c>
      <c r="R218" t="n">
        <v>0</v>
      </c>
      <c r="S218" t="n">
        <v>0</v>
      </c>
      <c r="T218" t="n">
        <v>0</v>
      </c>
      <c r="U218" s="2" t="inlineStr"/>
    </row>
    <row r="219" ht="15" customHeight="1">
      <c r="A219" t="inlineStr">
        <is>
          <t>A 2102-2026</t>
        </is>
      </c>
      <c r="B219" t="inlineStr">
        <is>
          <t>avverkningsanmälan</t>
        </is>
      </c>
      <c r="C219" t="inlineStr">
        <is>
          <t>Föryngringsavverkning</t>
        </is>
      </c>
      <c r="D219" s="1" t="n">
        <v>46036</v>
      </c>
      <c r="E219" s="1" t="n">
        <v>46222</v>
      </c>
      <c r="F219" t="inlineStr">
        <is>
          <t>ÖREBRO LÄN</t>
        </is>
      </c>
      <c r="G219" t="inlineStr">
        <is>
          <t>LAXÅ</t>
        </is>
      </c>
      <c r="H219" t="inlineStr">
        <is>
          <t>Sveaskog</t>
        </is>
      </c>
      <c r="I219" t="n">
        <v>2.5</v>
      </c>
      <c r="J219" t="n">
        <v>0</v>
      </c>
      <c r="K219" t="n">
        <v>0</v>
      </c>
      <c r="L219" t="n">
        <v>0</v>
      </c>
      <c r="M219" t="n">
        <v>0</v>
      </c>
      <c r="N219" t="n">
        <v>0</v>
      </c>
      <c r="O219" t="n">
        <v>0</v>
      </c>
      <c r="P219" t="n">
        <v>0</v>
      </c>
      <c r="Q219" t="n">
        <v>0</v>
      </c>
      <c r="R219" t="n">
        <v>0</v>
      </c>
      <c r="S219" t="n">
        <v>0</v>
      </c>
      <c r="T219" t="n">
        <v>0</v>
      </c>
      <c r="U219" s="2" t="inlineStr"/>
    </row>
    <row r="220" ht="15" customHeight="1">
      <c r="A220" t="inlineStr">
        <is>
          <t>A 2127-2026</t>
        </is>
      </c>
      <c r="B220" t="inlineStr">
        <is>
          <t>avverkningsanmälan</t>
        </is>
      </c>
      <c r="C220" t="inlineStr">
        <is>
          <t>Föryngringsavverkning</t>
        </is>
      </c>
      <c r="D220" s="1" t="n">
        <v>46036</v>
      </c>
      <c r="E220" s="1" t="n">
        <v>46222</v>
      </c>
      <c r="F220" t="inlineStr">
        <is>
          <t>ÖREBRO LÄN</t>
        </is>
      </c>
      <c r="G220" t="inlineStr">
        <is>
          <t>LAXÅ</t>
        </is>
      </c>
      <c r="H220" t="inlineStr">
        <is>
          <t>Sveaskog</t>
        </is>
      </c>
      <c r="I220" t="n">
        <v>3.4</v>
      </c>
      <c r="J220" t="n">
        <v>0</v>
      </c>
      <c r="K220" t="n">
        <v>0</v>
      </c>
      <c r="L220" t="n">
        <v>0</v>
      </c>
      <c r="M220" t="n">
        <v>0</v>
      </c>
      <c r="N220" t="n">
        <v>0</v>
      </c>
      <c r="O220" t="n">
        <v>0</v>
      </c>
      <c r="P220" t="n">
        <v>0</v>
      </c>
      <c r="Q220" t="n">
        <v>0</v>
      </c>
      <c r="R220" t="n">
        <v>0</v>
      </c>
      <c r="S220" t="n">
        <v>0</v>
      </c>
      <c r="T220" t="n">
        <v>0</v>
      </c>
      <c r="U220" s="2" t="inlineStr"/>
    </row>
    <row r="221" ht="15" customHeight="1">
      <c r="A221" t="inlineStr">
        <is>
          <t>A 16483-2026</t>
        </is>
      </c>
      <c r="B221" t="inlineStr">
        <is>
          <t>avverkningsanmälan</t>
        </is>
      </c>
      <c r="C221" t="inlineStr">
        <is>
          <t>Föryngringsavverkning</t>
        </is>
      </c>
      <c r="D221" s="1" t="n">
        <v>46112</v>
      </c>
      <c r="E221" s="1" t="n">
        <v>46222</v>
      </c>
      <c r="F221" t="inlineStr">
        <is>
          <t>ÖREBRO LÄN</t>
        </is>
      </c>
      <c r="G221" t="inlineStr">
        <is>
          <t>LAXÅ</t>
        </is>
      </c>
      <c r="H221" t="inlineStr">
        <is>
          <t>Sveaskog</t>
        </is>
      </c>
      <c r="I221" t="n">
        <v>3.3</v>
      </c>
      <c r="J221" t="n">
        <v>0</v>
      </c>
      <c r="K221" t="n">
        <v>0</v>
      </c>
      <c r="L221" t="n">
        <v>0</v>
      </c>
      <c r="M221" t="n">
        <v>0</v>
      </c>
      <c r="N221" t="n">
        <v>0</v>
      </c>
      <c r="O221" t="n">
        <v>0</v>
      </c>
      <c r="P221" t="n">
        <v>0</v>
      </c>
      <c r="Q221" t="n">
        <v>0</v>
      </c>
      <c r="R221" t="n">
        <v>0</v>
      </c>
      <c r="S221" t="n">
        <v>0</v>
      </c>
      <c r="T221" t="n">
        <v>0</v>
      </c>
      <c r="U221" s="2" t="inlineStr"/>
    </row>
    <row r="222" ht="15" customHeight="1">
      <c r="A222" t="inlineStr">
        <is>
          <t>A 33929-2023</t>
        </is>
      </c>
      <c r="B222" t="inlineStr">
        <is>
          <t>avverkningsanmälan</t>
        </is>
      </c>
      <c r="C222" t="inlineStr">
        <is>
          <t>Föryngringsavverkning</t>
        </is>
      </c>
      <c r="D222" s="1" t="n">
        <v>45134</v>
      </c>
      <c r="E222" s="1" t="n">
        <v>46222</v>
      </c>
      <c r="F222" t="inlineStr">
        <is>
          <t>ÖREBRO LÄN</t>
        </is>
      </c>
      <c r="G222" t="inlineStr">
        <is>
          <t>LAXÅ</t>
        </is>
      </c>
      <c r="I222" t="n">
        <v>2.1</v>
      </c>
      <c r="J222" t="n">
        <v>0</v>
      </c>
      <c r="K222" t="n">
        <v>0</v>
      </c>
      <c r="L222" t="n">
        <v>0</v>
      </c>
      <c r="M222" t="n">
        <v>0</v>
      </c>
      <c r="N222" t="n">
        <v>0</v>
      </c>
      <c r="O222" t="n">
        <v>0</v>
      </c>
      <c r="P222" t="n">
        <v>0</v>
      </c>
      <c r="Q222" t="n">
        <v>0</v>
      </c>
      <c r="R222" t="n">
        <v>0</v>
      </c>
      <c r="S222" t="n">
        <v>0</v>
      </c>
      <c r="T222" t="n">
        <v>0</v>
      </c>
      <c r="U222" s="2" t="inlineStr"/>
    </row>
    <row r="223" ht="15" customHeight="1">
      <c r="A223" t="inlineStr">
        <is>
          <t>A 38288-2023</t>
        </is>
      </c>
      <c r="B223" t="inlineStr">
        <is>
          <t>avverkningsanmälan</t>
        </is>
      </c>
      <c r="C223" t="inlineStr">
        <is>
          <t>Föryngringsavverkning</t>
        </is>
      </c>
      <c r="D223" s="1" t="n">
        <v>45161</v>
      </c>
      <c r="E223" s="1" t="n">
        <v>46222</v>
      </c>
      <c r="F223" t="inlineStr">
        <is>
          <t>ÖREBRO LÄN</t>
        </is>
      </c>
      <c r="G223" t="inlineStr">
        <is>
          <t>LAXÅ</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17405-2026</t>
        </is>
      </c>
      <c r="B224" t="inlineStr">
        <is>
          <t>avverkningsanmälan</t>
        </is>
      </c>
      <c r="C224" t="inlineStr">
        <is>
          <t>Föryngringsavverkning</t>
        </is>
      </c>
      <c r="D224" s="1" t="n">
        <v>46120</v>
      </c>
      <c r="E224" s="1" t="n">
        <v>46222</v>
      </c>
      <c r="F224" t="inlineStr">
        <is>
          <t>ÖREBRO LÄN</t>
        </is>
      </c>
      <c r="G224" t="inlineStr">
        <is>
          <t>LAXÅ</t>
        </is>
      </c>
      <c r="H224" t="inlineStr">
        <is>
          <t>Sveaskog</t>
        </is>
      </c>
      <c r="I224" t="n">
        <v>10.4</v>
      </c>
      <c r="J224" t="n">
        <v>0</v>
      </c>
      <c r="K224" t="n">
        <v>0</v>
      </c>
      <c r="L224" t="n">
        <v>0</v>
      </c>
      <c r="M224" t="n">
        <v>0</v>
      </c>
      <c r="N224" t="n">
        <v>0</v>
      </c>
      <c r="O224" t="n">
        <v>0</v>
      </c>
      <c r="P224" t="n">
        <v>0</v>
      </c>
      <c r="Q224" t="n">
        <v>0</v>
      </c>
      <c r="R224" t="n">
        <v>0</v>
      </c>
      <c r="S224" t="n">
        <v>0</v>
      </c>
      <c r="T224" t="n">
        <v>0</v>
      </c>
      <c r="U224" s="2" t="inlineStr"/>
    </row>
    <row r="225" ht="15" customHeight="1">
      <c r="A225" t="inlineStr">
        <is>
          <t>A 17407-2026</t>
        </is>
      </c>
      <c r="B225" t="inlineStr">
        <is>
          <t>avverkningsanmälan</t>
        </is>
      </c>
      <c r="C225" t="inlineStr">
        <is>
          <t>Föryngringsavverkning</t>
        </is>
      </c>
      <c r="D225" s="1" t="n">
        <v>46120</v>
      </c>
      <c r="E225" s="1" t="n">
        <v>46222</v>
      </c>
      <c r="F225" t="inlineStr">
        <is>
          <t>ÖREBRO LÄN</t>
        </is>
      </c>
      <c r="G225" t="inlineStr">
        <is>
          <t>LAXÅ</t>
        </is>
      </c>
      <c r="H225" t="inlineStr">
        <is>
          <t>Sveaskog</t>
        </is>
      </c>
      <c r="I225" t="n">
        <v>3.3</v>
      </c>
      <c r="J225" t="n">
        <v>0</v>
      </c>
      <c r="K225" t="n">
        <v>0</v>
      </c>
      <c r="L225" t="n">
        <v>0</v>
      </c>
      <c r="M225" t="n">
        <v>0</v>
      </c>
      <c r="N225" t="n">
        <v>0</v>
      </c>
      <c r="O225" t="n">
        <v>0</v>
      </c>
      <c r="P225" t="n">
        <v>0</v>
      </c>
      <c r="Q225" t="n">
        <v>0</v>
      </c>
      <c r="R225" t="n">
        <v>0</v>
      </c>
      <c r="S225" t="n">
        <v>0</v>
      </c>
      <c r="T225" t="n">
        <v>0</v>
      </c>
      <c r="U225" s="2" t="inlineStr"/>
    </row>
    <row r="226" ht="15" customHeight="1">
      <c r="A226" t="inlineStr">
        <is>
          <t>A 11476-2023</t>
        </is>
      </c>
      <c r="B226" t="inlineStr">
        <is>
          <t>avverkningsanmälan</t>
        </is>
      </c>
      <c r="C226" t="inlineStr">
        <is>
          <t>Föryngringsavverkning</t>
        </is>
      </c>
      <c r="D226" s="1" t="n">
        <v>44993</v>
      </c>
      <c r="E226" s="1" t="n">
        <v>46222</v>
      </c>
      <c r="F226" t="inlineStr">
        <is>
          <t>ÖREBRO LÄN</t>
        </is>
      </c>
      <c r="G226" t="inlineStr">
        <is>
          <t>LAXÅ</t>
        </is>
      </c>
      <c r="H226" t="inlineStr">
        <is>
          <t>Sveaskog</t>
        </is>
      </c>
      <c r="I226" t="n">
        <v>6.2</v>
      </c>
      <c r="J226" t="n">
        <v>0</v>
      </c>
      <c r="K226" t="n">
        <v>0</v>
      </c>
      <c r="L226" t="n">
        <v>0</v>
      </c>
      <c r="M226" t="n">
        <v>0</v>
      </c>
      <c r="N226" t="n">
        <v>0</v>
      </c>
      <c r="O226" t="n">
        <v>0</v>
      </c>
      <c r="P226" t="n">
        <v>0</v>
      </c>
      <c r="Q226" t="n">
        <v>0</v>
      </c>
      <c r="R226" t="n">
        <v>0</v>
      </c>
      <c r="S226" t="n">
        <v>0</v>
      </c>
      <c r="T226" t="n">
        <v>0</v>
      </c>
      <c r="U226" s="2" t="inlineStr"/>
    </row>
    <row r="227" ht="15" customHeight="1">
      <c r="A227" t="inlineStr">
        <is>
          <t>A 62454-2021</t>
        </is>
      </c>
      <c r="B227" t="inlineStr">
        <is>
          <t>avverkningsanmälan</t>
        </is>
      </c>
      <c r="C227" t="inlineStr">
        <is>
          <t>Föryngringsavverkning</t>
        </is>
      </c>
      <c r="D227" s="1" t="n">
        <v>44503</v>
      </c>
      <c r="E227" s="1" t="n">
        <v>46222</v>
      </c>
      <c r="F227" t="inlineStr">
        <is>
          <t>ÖREBRO LÄN</t>
        </is>
      </c>
      <c r="G227" t="inlineStr">
        <is>
          <t>LAXÅ</t>
        </is>
      </c>
      <c r="H227" t="inlineStr">
        <is>
          <t>Sveaskog</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11477-2023</t>
        </is>
      </c>
      <c r="B228" t="inlineStr">
        <is>
          <t>avverkningsanmälan</t>
        </is>
      </c>
      <c r="C228" t="inlineStr">
        <is>
          <t>Föryngringsavverkning</t>
        </is>
      </c>
      <c r="D228" s="1" t="n">
        <v>44993</v>
      </c>
      <c r="E228" s="1" t="n">
        <v>46222</v>
      </c>
      <c r="F228" t="inlineStr">
        <is>
          <t>ÖREBRO LÄN</t>
        </is>
      </c>
      <c r="G228" t="inlineStr">
        <is>
          <t>LAXÅ</t>
        </is>
      </c>
      <c r="H228" t="inlineStr">
        <is>
          <t>Sveaskog</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67052-2021</t>
        </is>
      </c>
      <c r="B229" t="inlineStr">
        <is>
          <t>avverkningsanmälan</t>
        </is>
      </c>
      <c r="C229" t="inlineStr">
        <is>
          <t>Föryngringsavverkning</t>
        </is>
      </c>
      <c r="D229" s="1" t="n">
        <v>44522</v>
      </c>
      <c r="E229" s="1" t="n">
        <v>46222</v>
      </c>
      <c r="F229" t="inlineStr">
        <is>
          <t>ÖREBRO LÄN</t>
        </is>
      </c>
      <c r="G229" t="inlineStr">
        <is>
          <t>LAXÅ</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7932-2024</t>
        </is>
      </c>
      <c r="B230" t="inlineStr">
        <is>
          <t>avverkningsanmälan</t>
        </is>
      </c>
      <c r="C230" t="inlineStr">
        <is>
          <t>Föryngringsavverkning</t>
        </is>
      </c>
      <c r="D230" s="1" t="n">
        <v>45349</v>
      </c>
      <c r="E230" s="1" t="n">
        <v>46222</v>
      </c>
      <c r="F230" t="inlineStr">
        <is>
          <t>ÖREBRO LÄN</t>
        </is>
      </c>
      <c r="G230" t="inlineStr">
        <is>
          <t>LAXÅ</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40151-2024</t>
        </is>
      </c>
      <c r="B231" t="inlineStr">
        <is>
          <t>avverkningsanmälan</t>
        </is>
      </c>
      <c r="C231" t="inlineStr">
        <is>
          <t>Föryngringsavverkning</t>
        </is>
      </c>
      <c r="D231" s="1" t="n">
        <v>45554</v>
      </c>
      <c r="E231" s="1" t="n">
        <v>46222</v>
      </c>
      <c r="F231" t="inlineStr">
        <is>
          <t>ÖREBRO LÄN</t>
        </is>
      </c>
      <c r="G231" t="inlineStr">
        <is>
          <t>LAXÅ</t>
        </is>
      </c>
      <c r="H231" t="inlineStr">
        <is>
          <t>Sveaskog</t>
        </is>
      </c>
      <c r="I231" t="n">
        <v>1.9</v>
      </c>
      <c r="J231" t="n">
        <v>0</v>
      </c>
      <c r="K231" t="n">
        <v>0</v>
      </c>
      <c r="L231" t="n">
        <v>0</v>
      </c>
      <c r="M231" t="n">
        <v>0</v>
      </c>
      <c r="N231" t="n">
        <v>0</v>
      </c>
      <c r="O231" t="n">
        <v>0</v>
      </c>
      <c r="P231" t="n">
        <v>0</v>
      </c>
      <c r="Q231" t="n">
        <v>0</v>
      </c>
      <c r="R231" t="n">
        <v>0</v>
      </c>
      <c r="S231" t="n">
        <v>0</v>
      </c>
      <c r="T231" t="n">
        <v>0</v>
      </c>
      <c r="U231" s="2" t="inlineStr"/>
    </row>
    <row r="232" ht="15" customHeight="1">
      <c r="A232" t="inlineStr">
        <is>
          <t>A 41853-2024</t>
        </is>
      </c>
      <c r="B232" t="inlineStr">
        <is>
          <t>avverkningsanmälan</t>
        </is>
      </c>
      <c r="C232" t="inlineStr">
        <is>
          <t>Föryngringsavverkning</t>
        </is>
      </c>
      <c r="D232" s="1" t="n">
        <v>45561</v>
      </c>
      <c r="E232" s="1" t="n">
        <v>46222</v>
      </c>
      <c r="F232" t="inlineStr">
        <is>
          <t>ÖREBRO LÄN</t>
        </is>
      </c>
      <c r="G232" t="inlineStr">
        <is>
          <t>LAXÅ</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38722-2025</t>
        </is>
      </c>
      <c r="B233" t="inlineStr">
        <is>
          <t>avverkningsanmälan</t>
        </is>
      </c>
      <c r="C233" t="inlineStr">
        <is>
          <t>Föryngringsavverkning</t>
        </is>
      </c>
      <c r="D233" s="1" t="n">
        <v>45886</v>
      </c>
      <c r="E233" s="1" t="n">
        <v>46222</v>
      </c>
      <c r="F233" t="inlineStr">
        <is>
          <t>ÖREBRO LÄN</t>
        </is>
      </c>
      <c r="G233" t="inlineStr">
        <is>
          <t>LAXÅ</t>
        </is>
      </c>
      <c r="I233" t="n">
        <v>2.3</v>
      </c>
      <c r="J233" t="n">
        <v>0</v>
      </c>
      <c r="K233" t="n">
        <v>0</v>
      </c>
      <c r="L233" t="n">
        <v>0</v>
      </c>
      <c r="M233" t="n">
        <v>0</v>
      </c>
      <c r="N233" t="n">
        <v>0</v>
      </c>
      <c r="O233" t="n">
        <v>0</v>
      </c>
      <c r="P233" t="n">
        <v>0</v>
      </c>
      <c r="Q233" t="n">
        <v>0</v>
      </c>
      <c r="R233" t="n">
        <v>0</v>
      </c>
      <c r="S233" t="n">
        <v>0</v>
      </c>
      <c r="T233" t="n">
        <v>0</v>
      </c>
      <c r="U233" s="2" t="inlineStr"/>
    </row>
    <row r="234" ht="15" customHeight="1">
      <c r="A234" t="inlineStr">
        <is>
          <t>A 50262-2024</t>
        </is>
      </c>
      <c r="B234" t="inlineStr">
        <is>
          <t>avverkningsanmälan</t>
        </is>
      </c>
      <c r="C234" t="inlineStr">
        <is>
          <t>Föryngringsavverkning</t>
        </is>
      </c>
      <c r="D234" s="1" t="n">
        <v>45600</v>
      </c>
      <c r="E234" s="1" t="n">
        <v>46222</v>
      </c>
      <c r="F234" t="inlineStr">
        <is>
          <t>ÖREBRO LÄN</t>
        </is>
      </c>
      <c r="G234" t="inlineStr">
        <is>
          <t>LAXÅ</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68356-2021</t>
        </is>
      </c>
      <c r="B235" t="inlineStr">
        <is>
          <t>avverkningsanmälan</t>
        </is>
      </c>
      <c r="C235" t="inlineStr">
        <is>
          <t>Föryngringsavverkning</t>
        </is>
      </c>
      <c r="D235" s="1" t="n">
        <v>44528</v>
      </c>
      <c r="E235" s="1" t="n">
        <v>46222</v>
      </c>
      <c r="F235" t="inlineStr">
        <is>
          <t>ÖREBRO LÄN</t>
        </is>
      </c>
      <c r="G235" t="inlineStr">
        <is>
          <t>LAXÅ</t>
        </is>
      </c>
      <c r="H235" t="inlineStr">
        <is>
          <t>Sveaskog</t>
        </is>
      </c>
      <c r="I235" t="n">
        <v>9.800000000000001</v>
      </c>
      <c r="J235" t="n">
        <v>0</v>
      </c>
      <c r="K235" t="n">
        <v>0</v>
      </c>
      <c r="L235" t="n">
        <v>0</v>
      </c>
      <c r="M235" t="n">
        <v>0</v>
      </c>
      <c r="N235" t="n">
        <v>0</v>
      </c>
      <c r="O235" t="n">
        <v>0</v>
      </c>
      <c r="P235" t="n">
        <v>0</v>
      </c>
      <c r="Q235" t="n">
        <v>0</v>
      </c>
      <c r="R235" t="n">
        <v>0</v>
      </c>
      <c r="S235" t="n">
        <v>0</v>
      </c>
      <c r="T235" t="n">
        <v>0</v>
      </c>
      <c r="U235" s="2" t="inlineStr"/>
    </row>
    <row r="236" ht="15" customHeight="1">
      <c r="A236" t="inlineStr">
        <is>
          <t>A 67054-2021</t>
        </is>
      </c>
      <c r="B236" t="inlineStr">
        <is>
          <t>avverkningsanmälan</t>
        </is>
      </c>
      <c r="C236" t="inlineStr">
        <is>
          <t>Föryngringsavverkning</t>
        </is>
      </c>
      <c r="D236" s="1" t="n">
        <v>44522</v>
      </c>
      <c r="E236" s="1" t="n">
        <v>46222</v>
      </c>
      <c r="F236" t="inlineStr">
        <is>
          <t>ÖREBRO LÄN</t>
        </is>
      </c>
      <c r="G236" t="inlineStr">
        <is>
          <t>LAXÅ</t>
        </is>
      </c>
      <c r="I236" t="n">
        <v>2.2</v>
      </c>
      <c r="J236" t="n">
        <v>0</v>
      </c>
      <c r="K236" t="n">
        <v>0</v>
      </c>
      <c r="L236" t="n">
        <v>0</v>
      </c>
      <c r="M236" t="n">
        <v>0</v>
      </c>
      <c r="N236" t="n">
        <v>0</v>
      </c>
      <c r="O236" t="n">
        <v>0</v>
      </c>
      <c r="P236" t="n">
        <v>0</v>
      </c>
      <c r="Q236" t="n">
        <v>0</v>
      </c>
      <c r="R236" t="n">
        <v>0</v>
      </c>
      <c r="S236" t="n">
        <v>0</v>
      </c>
      <c r="T236" t="n">
        <v>0</v>
      </c>
      <c r="U236" s="2" t="inlineStr"/>
    </row>
    <row r="237" ht="15" customHeight="1">
      <c r="A237" t="inlineStr">
        <is>
          <t>A 22381-2025</t>
        </is>
      </c>
      <c r="B237" t="inlineStr">
        <is>
          <t>avverkningsanmälan</t>
        </is>
      </c>
      <c r="C237" t="inlineStr">
        <is>
          <t>Föryngringsavverkning</t>
        </is>
      </c>
      <c r="D237" s="1" t="n">
        <v>45786</v>
      </c>
      <c r="E237" s="1" t="n">
        <v>46222</v>
      </c>
      <c r="F237" t="inlineStr">
        <is>
          <t>ÖREBRO LÄN</t>
        </is>
      </c>
      <c r="G237" t="inlineStr">
        <is>
          <t>LAXÅ</t>
        </is>
      </c>
      <c r="H237" t="inlineStr">
        <is>
          <t>Sveaskog</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49881-2024</t>
        </is>
      </c>
      <c r="B238" t="inlineStr">
        <is>
          <t>avverkningsanmälan</t>
        </is>
      </c>
      <c r="C238" t="inlineStr">
        <is>
          <t>Föryngringsavverkning</t>
        </is>
      </c>
      <c r="D238" s="1" t="n">
        <v>45597</v>
      </c>
      <c r="E238" s="1" t="n">
        <v>46222</v>
      </c>
      <c r="F238" t="inlineStr">
        <is>
          <t>ÖREBRO LÄN</t>
        </is>
      </c>
      <c r="G238" t="inlineStr">
        <is>
          <t>LAXÅ</t>
        </is>
      </c>
      <c r="H238" t="inlineStr">
        <is>
          <t>Sveaskog</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25921-2026</t>
        </is>
      </c>
      <c r="B239" t="inlineStr">
        <is>
          <t>avverkningsanmälan</t>
        </is>
      </c>
      <c r="C239" t="inlineStr">
        <is>
          <t>Föryngringsavverkning</t>
        </is>
      </c>
      <c r="D239" s="1" t="n">
        <v>46178</v>
      </c>
      <c r="E239" s="1" t="n">
        <v>46222</v>
      </c>
      <c r="F239" t="inlineStr">
        <is>
          <t>ÖREBRO LÄN</t>
        </is>
      </c>
      <c r="G239" t="inlineStr">
        <is>
          <t>LAXÅ</t>
        </is>
      </c>
      <c r="H239" t="inlineStr">
        <is>
          <t>Sveaskog</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25920-2026</t>
        </is>
      </c>
      <c r="B240" t="inlineStr">
        <is>
          <t>avverkningsanmälan</t>
        </is>
      </c>
      <c r="C240" t="inlineStr">
        <is>
          <t>Föryngringsavverkning</t>
        </is>
      </c>
      <c r="D240" s="1" t="n">
        <v>46178</v>
      </c>
      <c r="E240" s="1" t="n">
        <v>46222</v>
      </c>
      <c r="F240" t="inlineStr">
        <is>
          <t>ÖREBRO LÄN</t>
        </is>
      </c>
      <c r="G240" t="inlineStr">
        <is>
          <t>LAXÅ</t>
        </is>
      </c>
      <c r="H240" t="inlineStr">
        <is>
          <t>Sveaskog</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35850-2024</t>
        </is>
      </c>
      <c r="B241" t="inlineStr">
        <is>
          <t>avverkningsanmälan</t>
        </is>
      </c>
      <c r="C241" t="inlineStr">
        <is>
          <t>Föryngringsavverkning</t>
        </is>
      </c>
      <c r="D241" s="1" t="n">
        <v>45532</v>
      </c>
      <c r="E241" s="1" t="n">
        <v>46222</v>
      </c>
      <c r="F241" t="inlineStr">
        <is>
          <t>ÖREBRO LÄN</t>
        </is>
      </c>
      <c r="G241" t="inlineStr">
        <is>
          <t>LAXÅ</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25563-2022</t>
        </is>
      </c>
      <c r="B242" t="inlineStr">
        <is>
          <t>avverkningsanmälan</t>
        </is>
      </c>
      <c r="C242" t="inlineStr">
        <is>
          <t>Föryngringsavverkning</t>
        </is>
      </c>
      <c r="D242" s="1" t="n">
        <v>44732</v>
      </c>
      <c r="E242" s="1" t="n">
        <v>46222</v>
      </c>
      <c r="F242" t="inlineStr">
        <is>
          <t>ÖREBRO LÄN</t>
        </is>
      </c>
      <c r="G242" t="inlineStr">
        <is>
          <t>LAXÅ</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28396-2025</t>
        </is>
      </c>
      <c r="B243" t="inlineStr">
        <is>
          <t>avverkningsanmälan</t>
        </is>
      </c>
      <c r="C243" t="inlineStr">
        <is>
          <t>Föryngringsavverkning</t>
        </is>
      </c>
      <c r="D243" s="1" t="n">
        <v>45819</v>
      </c>
      <c r="E243" s="1" t="n">
        <v>46222</v>
      </c>
      <c r="F243" t="inlineStr">
        <is>
          <t>ÖREBRO LÄN</t>
        </is>
      </c>
      <c r="G243" t="inlineStr">
        <is>
          <t>LAXÅ</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19809-2025</t>
        </is>
      </c>
      <c r="B244" t="inlineStr">
        <is>
          <t>avverkningsanmälan</t>
        </is>
      </c>
      <c r="C244" t="inlineStr">
        <is>
          <t>Föryngringsavverkning</t>
        </is>
      </c>
      <c r="D244" s="1" t="n">
        <v>45771</v>
      </c>
      <c r="E244" s="1" t="n">
        <v>46222</v>
      </c>
      <c r="F244" t="inlineStr">
        <is>
          <t>ÖREBRO LÄN</t>
        </is>
      </c>
      <c r="G244" t="inlineStr">
        <is>
          <t>LAXÅ</t>
        </is>
      </c>
      <c r="H244" t="inlineStr">
        <is>
          <t>Sveaskog</t>
        </is>
      </c>
      <c r="I244" t="n">
        <v>7.7</v>
      </c>
      <c r="J244" t="n">
        <v>0</v>
      </c>
      <c r="K244" t="n">
        <v>0</v>
      </c>
      <c r="L244" t="n">
        <v>0</v>
      </c>
      <c r="M244" t="n">
        <v>0</v>
      </c>
      <c r="N244" t="n">
        <v>0</v>
      </c>
      <c r="O244" t="n">
        <v>0</v>
      </c>
      <c r="P244" t="n">
        <v>0</v>
      </c>
      <c r="Q244" t="n">
        <v>0</v>
      </c>
      <c r="R244" t="n">
        <v>0</v>
      </c>
      <c r="S244" t="n">
        <v>0</v>
      </c>
      <c r="T244" t="n">
        <v>0</v>
      </c>
      <c r="U244" s="2" t="inlineStr"/>
    </row>
    <row r="245" ht="15" customHeight="1">
      <c r="A245" t="inlineStr">
        <is>
          <t>A 19813-2025</t>
        </is>
      </c>
      <c r="B245" t="inlineStr">
        <is>
          <t>avverkningsanmälan</t>
        </is>
      </c>
      <c r="C245" t="inlineStr">
        <is>
          <t>Föryngringsavverkning</t>
        </is>
      </c>
      <c r="D245" s="1" t="n">
        <v>45771</v>
      </c>
      <c r="E245" s="1" t="n">
        <v>46222</v>
      </c>
      <c r="F245" t="inlineStr">
        <is>
          <t>ÖREBRO LÄN</t>
        </is>
      </c>
      <c r="G245" t="inlineStr">
        <is>
          <t>LAXÅ</t>
        </is>
      </c>
      <c r="H245" t="inlineStr">
        <is>
          <t>Sveaskog</t>
        </is>
      </c>
      <c r="I245" t="n">
        <v>1.4</v>
      </c>
      <c r="J245" t="n">
        <v>0</v>
      </c>
      <c r="K245" t="n">
        <v>0</v>
      </c>
      <c r="L245" t="n">
        <v>0</v>
      </c>
      <c r="M245" t="n">
        <v>0</v>
      </c>
      <c r="N245" t="n">
        <v>0</v>
      </c>
      <c r="O245" t="n">
        <v>0</v>
      </c>
      <c r="P245" t="n">
        <v>0</v>
      </c>
      <c r="Q245" t="n">
        <v>0</v>
      </c>
      <c r="R245" t="n">
        <v>0</v>
      </c>
      <c r="S245" t="n">
        <v>0</v>
      </c>
      <c r="T245" t="n">
        <v>0</v>
      </c>
      <c r="U245" s="2" t="inlineStr"/>
    </row>
    <row r="246" ht="15" customHeight="1">
      <c r="A246" t="inlineStr">
        <is>
          <t>A 19835-2025</t>
        </is>
      </c>
      <c r="B246" t="inlineStr">
        <is>
          <t>avverkningsanmälan</t>
        </is>
      </c>
      <c r="C246" t="inlineStr">
        <is>
          <t>Avverkning för att bevara och utveckla /försöksver</t>
        </is>
      </c>
      <c r="D246" s="1" t="n">
        <v>45771</v>
      </c>
      <c r="E246" s="1" t="n">
        <v>46222</v>
      </c>
      <c r="F246" t="inlineStr">
        <is>
          <t>ÖREBRO LÄN</t>
        </is>
      </c>
      <c r="G246" t="inlineStr">
        <is>
          <t>LAXÅ</t>
        </is>
      </c>
      <c r="H246" t="inlineStr">
        <is>
          <t>Sveaskog</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25922-2026</t>
        </is>
      </c>
      <c r="B247" t="inlineStr">
        <is>
          <t>avverkningsanmälan</t>
        </is>
      </c>
      <c r="C247" t="inlineStr">
        <is>
          <t>Föryngringsavverkning</t>
        </is>
      </c>
      <c r="D247" s="1" t="n">
        <v>46178</v>
      </c>
      <c r="E247" s="1" t="n">
        <v>46222</v>
      </c>
      <c r="F247" t="inlineStr">
        <is>
          <t>ÖREBRO LÄN</t>
        </is>
      </c>
      <c r="G247" t="inlineStr">
        <is>
          <t>LAXÅ</t>
        </is>
      </c>
      <c r="H247" t="inlineStr">
        <is>
          <t>Sveaskog</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55484-2024</t>
        </is>
      </c>
      <c r="B248" t="inlineStr">
        <is>
          <t>avverkningsanmälan</t>
        </is>
      </c>
      <c r="C248" t="inlineStr">
        <is>
          <t>Föryngringsavverkning</t>
        </is>
      </c>
      <c r="D248" s="1" t="n">
        <v>45622</v>
      </c>
      <c r="E248" s="1" t="n">
        <v>46222</v>
      </c>
      <c r="F248" t="inlineStr">
        <is>
          <t>ÖREBRO LÄN</t>
        </is>
      </c>
      <c r="G248" t="inlineStr">
        <is>
          <t>LAXÅ</t>
        </is>
      </c>
      <c r="H248" t="inlineStr">
        <is>
          <t>Sveaskog</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25926-2026</t>
        </is>
      </c>
      <c r="B249" t="inlineStr">
        <is>
          <t>avverkningsanmälan</t>
        </is>
      </c>
      <c r="C249" t="inlineStr">
        <is>
          <t>Föryngringsavverkning</t>
        </is>
      </c>
      <c r="D249" s="1" t="n">
        <v>46178</v>
      </c>
      <c r="E249" s="1" t="n">
        <v>46222</v>
      </c>
      <c r="F249" t="inlineStr">
        <is>
          <t>ÖREBRO LÄN</t>
        </is>
      </c>
      <c r="G249" t="inlineStr">
        <is>
          <t>LAXÅ</t>
        </is>
      </c>
      <c r="H249" t="inlineStr">
        <is>
          <t>Sveaskog</t>
        </is>
      </c>
      <c r="I249" t="n">
        <v>3.3</v>
      </c>
      <c r="J249" t="n">
        <v>0</v>
      </c>
      <c r="K249" t="n">
        <v>0</v>
      </c>
      <c r="L249" t="n">
        <v>0</v>
      </c>
      <c r="M249" t="n">
        <v>0</v>
      </c>
      <c r="N249" t="n">
        <v>0</v>
      </c>
      <c r="O249" t="n">
        <v>0</v>
      </c>
      <c r="P249" t="n">
        <v>0</v>
      </c>
      <c r="Q249" t="n">
        <v>0</v>
      </c>
      <c r="R249" t="n">
        <v>0</v>
      </c>
      <c r="S249" t="n">
        <v>0</v>
      </c>
      <c r="T249" t="n">
        <v>0</v>
      </c>
      <c r="U249" s="2" t="inlineStr"/>
    </row>
    <row r="250" ht="15" customHeight="1">
      <c r="A250" t="inlineStr">
        <is>
          <t>A 61091-2023</t>
        </is>
      </c>
      <c r="B250" t="inlineStr">
        <is>
          <t>avverkningsanmälan</t>
        </is>
      </c>
      <c r="C250" t="inlineStr">
        <is>
          <t>Föryngringsavverkning</t>
        </is>
      </c>
      <c r="D250" s="1" t="n">
        <v>45261</v>
      </c>
      <c r="E250" s="1" t="n">
        <v>46222</v>
      </c>
      <c r="F250" t="inlineStr">
        <is>
          <t>ÖREBRO LÄN</t>
        </is>
      </c>
      <c r="G250" t="inlineStr">
        <is>
          <t>LAXÅ</t>
        </is>
      </c>
      <c r="H250" t="inlineStr">
        <is>
          <t>Sveaskog</t>
        </is>
      </c>
      <c r="I250" t="n">
        <v>1.8</v>
      </c>
      <c r="J250" t="n">
        <v>0</v>
      </c>
      <c r="K250" t="n">
        <v>0</v>
      </c>
      <c r="L250" t="n">
        <v>0</v>
      </c>
      <c r="M250" t="n">
        <v>0</v>
      </c>
      <c r="N250" t="n">
        <v>0</v>
      </c>
      <c r="O250" t="n">
        <v>0</v>
      </c>
      <c r="P250" t="n">
        <v>0</v>
      </c>
      <c r="Q250" t="n">
        <v>0</v>
      </c>
      <c r="R250" t="n">
        <v>0</v>
      </c>
      <c r="S250" t="n">
        <v>0</v>
      </c>
      <c r="T250" t="n">
        <v>0</v>
      </c>
      <c r="U250" s="2" t="inlineStr"/>
    </row>
    <row r="251" ht="15" customHeight="1">
      <c r="A251" t="inlineStr">
        <is>
          <t>A 33695-2023</t>
        </is>
      </c>
      <c r="B251" t="inlineStr">
        <is>
          <t>avverkningsanmälan</t>
        </is>
      </c>
      <c r="C251" t="inlineStr">
        <is>
          <t>Föryngringsavverkning</t>
        </is>
      </c>
      <c r="D251" s="1" t="n">
        <v>45132</v>
      </c>
      <c r="E251" s="1" t="n">
        <v>46222</v>
      </c>
      <c r="F251" t="inlineStr">
        <is>
          <t>ÖREBRO LÄN</t>
        </is>
      </c>
      <c r="G251" t="inlineStr">
        <is>
          <t>LAXÅ</t>
        </is>
      </c>
      <c r="I251" t="n">
        <v>6.9</v>
      </c>
      <c r="J251" t="n">
        <v>0</v>
      </c>
      <c r="K251" t="n">
        <v>0</v>
      </c>
      <c r="L251" t="n">
        <v>0</v>
      </c>
      <c r="M251" t="n">
        <v>0</v>
      </c>
      <c r="N251" t="n">
        <v>0</v>
      </c>
      <c r="O251" t="n">
        <v>0</v>
      </c>
      <c r="P251" t="n">
        <v>0</v>
      </c>
      <c r="Q251" t="n">
        <v>0</v>
      </c>
      <c r="R251" t="n">
        <v>0</v>
      </c>
      <c r="S251" t="n">
        <v>0</v>
      </c>
      <c r="T251" t="n">
        <v>0</v>
      </c>
      <c r="U251" s="2" t="inlineStr"/>
    </row>
    <row r="252" ht="15" customHeight="1">
      <c r="A252" t="inlineStr">
        <is>
          <t>A 20943-2026</t>
        </is>
      </c>
      <c r="B252" t="inlineStr">
        <is>
          <t>avverkningsanmälan</t>
        </is>
      </c>
      <c r="C252" t="inlineStr">
        <is>
          <t>Föryngringsavverkning</t>
        </is>
      </c>
      <c r="D252" s="1" t="n">
        <v>46142</v>
      </c>
      <c r="E252" s="1" t="n">
        <v>46222</v>
      </c>
      <c r="F252" t="inlineStr">
        <is>
          <t>ÖREBRO LÄN</t>
        </is>
      </c>
      <c r="G252" t="inlineStr">
        <is>
          <t>LAXÅ</t>
        </is>
      </c>
      <c r="H252" t="inlineStr">
        <is>
          <t>Sveaskog</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37570-2023</t>
        </is>
      </c>
      <c r="B253" t="inlineStr">
        <is>
          <t>avverkningsanmälan</t>
        </is>
      </c>
      <c r="C253" t="inlineStr">
        <is>
          <t>Föryngringsavverkning</t>
        </is>
      </c>
      <c r="D253" s="1" t="n">
        <v>45159</v>
      </c>
      <c r="E253" s="1" t="n">
        <v>46222</v>
      </c>
      <c r="F253" t="inlineStr">
        <is>
          <t>ÖREBRO LÄN</t>
        </is>
      </c>
      <c r="G253" t="inlineStr">
        <is>
          <t>LAXÅ</t>
        </is>
      </c>
      <c r="H253" t="inlineStr">
        <is>
          <t>Sveaskog</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34437-2022</t>
        </is>
      </c>
      <c r="B254" t="inlineStr">
        <is>
          <t>avverkningsanmälan</t>
        </is>
      </c>
      <c r="C254" t="inlineStr">
        <is>
          <t>Föryngringsavverkning</t>
        </is>
      </c>
      <c r="D254" s="1" t="n">
        <v>44792</v>
      </c>
      <c r="E254" s="1" t="n">
        <v>46222</v>
      </c>
      <c r="F254" t="inlineStr">
        <is>
          <t>ÖREBRO LÄN</t>
        </is>
      </c>
      <c r="G254" t="inlineStr">
        <is>
          <t>LAXÅ</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14462-2025</t>
        </is>
      </c>
      <c r="B255" t="inlineStr">
        <is>
          <t>avverkningsanmälan</t>
        </is>
      </c>
      <c r="C255" t="inlineStr">
        <is>
          <t>Föryngringsavverkning</t>
        </is>
      </c>
      <c r="D255" s="1" t="n">
        <v>45741</v>
      </c>
      <c r="E255" s="1" t="n">
        <v>46222</v>
      </c>
      <c r="F255" t="inlineStr">
        <is>
          <t>ÖREBRO LÄN</t>
        </is>
      </c>
      <c r="G255" t="inlineStr">
        <is>
          <t>LAXÅ</t>
        </is>
      </c>
      <c r="H255" t="inlineStr">
        <is>
          <t>Sveaskog</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54640-2023</t>
        </is>
      </c>
      <c r="B256" t="inlineStr">
        <is>
          <t>avverkningsanmälan</t>
        </is>
      </c>
      <c r="C256" t="inlineStr">
        <is>
          <t>Föryngringsavverkning</t>
        </is>
      </c>
      <c r="D256" s="1" t="n">
        <v>45234</v>
      </c>
      <c r="E256" s="1" t="n">
        <v>46222</v>
      </c>
      <c r="F256" t="inlineStr">
        <is>
          <t>ÖREBRO LÄN</t>
        </is>
      </c>
      <c r="G256" t="inlineStr">
        <is>
          <t>LAXÅ</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26880-2026</t>
        </is>
      </c>
      <c r="B257" t="inlineStr">
        <is>
          <t>avverkningsanmälan</t>
        </is>
      </c>
      <c r="C257" t="inlineStr">
        <is>
          <t>Föryngringsavverkning</t>
        </is>
      </c>
      <c r="D257" s="1" t="n">
        <v>46185</v>
      </c>
      <c r="E257" s="1" t="n">
        <v>46222</v>
      </c>
      <c r="F257" t="inlineStr">
        <is>
          <t>ÖREBRO LÄN</t>
        </is>
      </c>
      <c r="G257" t="inlineStr">
        <is>
          <t>LAXÅ</t>
        </is>
      </c>
      <c r="H257" t="inlineStr">
        <is>
          <t>Sveaskog</t>
        </is>
      </c>
      <c r="I257" t="n">
        <v>4.5</v>
      </c>
      <c r="J257" t="n">
        <v>0</v>
      </c>
      <c r="K257" t="n">
        <v>0</v>
      </c>
      <c r="L257" t="n">
        <v>0</v>
      </c>
      <c r="M257" t="n">
        <v>0</v>
      </c>
      <c r="N257" t="n">
        <v>0</v>
      </c>
      <c r="O257" t="n">
        <v>0</v>
      </c>
      <c r="P257" t="n">
        <v>0</v>
      </c>
      <c r="Q257" t="n">
        <v>0</v>
      </c>
      <c r="R257" t="n">
        <v>0</v>
      </c>
      <c r="S257" t="n">
        <v>0</v>
      </c>
      <c r="T257" t="n">
        <v>0</v>
      </c>
      <c r="U257" s="2" t="inlineStr"/>
    </row>
    <row r="258" ht="15" customHeight="1">
      <c r="A258" t="inlineStr">
        <is>
          <t>A 26878-2026</t>
        </is>
      </c>
      <c r="B258" t="inlineStr">
        <is>
          <t>avverkningsanmälan</t>
        </is>
      </c>
      <c r="C258" t="inlineStr">
        <is>
          <t>Föryngringsavverkning</t>
        </is>
      </c>
      <c r="D258" s="1" t="n">
        <v>46185</v>
      </c>
      <c r="E258" s="1" t="n">
        <v>46222</v>
      </c>
      <c r="F258" t="inlineStr">
        <is>
          <t>ÖREBRO LÄN</t>
        </is>
      </c>
      <c r="G258" t="inlineStr">
        <is>
          <t>LAXÅ</t>
        </is>
      </c>
      <c r="H258" t="inlineStr">
        <is>
          <t>Sveaskog</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15130-2025</t>
        </is>
      </c>
      <c r="B259" t="inlineStr">
        <is>
          <t>avverkningsanmälan</t>
        </is>
      </c>
      <c r="C259" t="inlineStr">
        <is>
          <t>Avverkning för att bevara och utveckla /försöksver</t>
        </is>
      </c>
      <c r="D259" s="1" t="n">
        <v>45744</v>
      </c>
      <c r="E259" s="1" t="n">
        <v>46222</v>
      </c>
      <c r="F259" t="inlineStr">
        <is>
          <t>ÖREBRO LÄN</t>
        </is>
      </c>
      <c r="G259" t="inlineStr">
        <is>
          <t>LAXÅ</t>
        </is>
      </c>
      <c r="H259" t="inlineStr">
        <is>
          <t>Sveaskog</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26879-2026</t>
        </is>
      </c>
      <c r="B260" t="inlineStr">
        <is>
          <t>avverkningsanmälan</t>
        </is>
      </c>
      <c r="C260" t="inlineStr">
        <is>
          <t>Föryngringsavverkning</t>
        </is>
      </c>
      <c r="D260" s="1" t="n">
        <v>46185</v>
      </c>
      <c r="E260" s="1" t="n">
        <v>46222</v>
      </c>
      <c r="F260" t="inlineStr">
        <is>
          <t>ÖREBRO LÄN</t>
        </is>
      </c>
      <c r="G260" t="inlineStr">
        <is>
          <t>LAXÅ</t>
        </is>
      </c>
      <c r="H260" t="inlineStr">
        <is>
          <t>Sveaskog</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35130-2022</t>
        </is>
      </c>
      <c r="B261" t="inlineStr">
        <is>
          <t>avverkningsanmälan</t>
        </is>
      </c>
      <c r="C261" t="inlineStr">
        <is>
          <t>Avverkning för annat ändamål</t>
        </is>
      </c>
      <c r="D261" s="1" t="n">
        <v>44797</v>
      </c>
      <c r="E261" s="1" t="n">
        <v>46222</v>
      </c>
      <c r="F261" t="inlineStr">
        <is>
          <t>ÖREBRO LÄN</t>
        </is>
      </c>
      <c r="G261" t="inlineStr">
        <is>
          <t>LAXÅ</t>
        </is>
      </c>
      <c r="I261" t="n">
        <v>5</v>
      </c>
      <c r="J261" t="n">
        <v>0</v>
      </c>
      <c r="K261" t="n">
        <v>0</v>
      </c>
      <c r="L261" t="n">
        <v>0</v>
      </c>
      <c r="M261" t="n">
        <v>0</v>
      </c>
      <c r="N261" t="n">
        <v>0</v>
      </c>
      <c r="O261" t="n">
        <v>0</v>
      </c>
      <c r="P261" t="n">
        <v>0</v>
      </c>
      <c r="Q261" t="n">
        <v>0</v>
      </c>
      <c r="R261" t="n">
        <v>0</v>
      </c>
      <c r="S261" t="n">
        <v>0</v>
      </c>
      <c r="T261" t="n">
        <v>0</v>
      </c>
      <c r="U261" s="2" t="inlineStr"/>
    </row>
    <row r="262" ht="15" customHeight="1">
      <c r="A262" t="inlineStr">
        <is>
          <t>A 19807-2025</t>
        </is>
      </c>
      <c r="B262" t="inlineStr">
        <is>
          <t>avverkningsanmälan</t>
        </is>
      </c>
      <c r="C262" t="inlineStr">
        <is>
          <t>Föryngringsavverkning</t>
        </is>
      </c>
      <c r="D262" s="1" t="n">
        <v>45771</v>
      </c>
      <c r="E262" s="1" t="n">
        <v>46222</v>
      </c>
      <c r="F262" t="inlineStr">
        <is>
          <t>ÖREBRO LÄN</t>
        </is>
      </c>
      <c r="G262" t="inlineStr">
        <is>
          <t>LAXÅ</t>
        </is>
      </c>
      <c r="H262" t="inlineStr">
        <is>
          <t>Sveaskog</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26877-2026</t>
        </is>
      </c>
      <c r="B263" t="inlineStr">
        <is>
          <t>avverkningsanmälan</t>
        </is>
      </c>
      <c r="C263" t="inlineStr">
        <is>
          <t>Föryngringsavverkning</t>
        </is>
      </c>
      <c r="D263" s="1" t="n">
        <v>46185</v>
      </c>
      <c r="E263" s="1" t="n">
        <v>46222</v>
      </c>
      <c r="F263" t="inlineStr">
        <is>
          <t>ÖREBRO LÄN</t>
        </is>
      </c>
      <c r="G263" t="inlineStr">
        <is>
          <t>LAXÅ</t>
        </is>
      </c>
      <c r="H263" t="inlineStr">
        <is>
          <t>Sveaskog</t>
        </is>
      </c>
      <c r="I263" t="n">
        <v>2.3</v>
      </c>
      <c r="J263" t="n">
        <v>0</v>
      </c>
      <c r="K263" t="n">
        <v>0</v>
      </c>
      <c r="L263" t="n">
        <v>0</v>
      </c>
      <c r="M263" t="n">
        <v>0</v>
      </c>
      <c r="N263" t="n">
        <v>0</v>
      </c>
      <c r="O263" t="n">
        <v>0</v>
      </c>
      <c r="P263" t="n">
        <v>0</v>
      </c>
      <c r="Q263" t="n">
        <v>0</v>
      </c>
      <c r="R263" t="n">
        <v>0</v>
      </c>
      <c r="S263" t="n">
        <v>0</v>
      </c>
      <c r="T263" t="n">
        <v>0</v>
      </c>
      <c r="U263" s="2" t="inlineStr"/>
    </row>
    <row r="264" ht="15" customHeight="1">
      <c r="A264" t="inlineStr">
        <is>
          <t>A 26883-2026</t>
        </is>
      </c>
      <c r="B264" t="inlineStr">
        <is>
          <t>avverkningsanmälan</t>
        </is>
      </c>
      <c r="C264" t="inlineStr">
        <is>
          <t>Föryngringsavverkning</t>
        </is>
      </c>
      <c r="D264" s="1" t="n">
        <v>46185</v>
      </c>
      <c r="E264" s="1" t="n">
        <v>46222</v>
      </c>
      <c r="F264" t="inlineStr">
        <is>
          <t>ÖREBRO LÄN</t>
        </is>
      </c>
      <c r="G264" t="inlineStr">
        <is>
          <t>LAXÅ</t>
        </is>
      </c>
      <c r="H264" t="inlineStr">
        <is>
          <t>Sveaskog</t>
        </is>
      </c>
      <c r="I264" t="n">
        <v>8.5</v>
      </c>
      <c r="J264" t="n">
        <v>0</v>
      </c>
      <c r="K264" t="n">
        <v>0</v>
      </c>
      <c r="L264" t="n">
        <v>0</v>
      </c>
      <c r="M264" t="n">
        <v>0</v>
      </c>
      <c r="N264" t="n">
        <v>0</v>
      </c>
      <c r="O264" t="n">
        <v>0</v>
      </c>
      <c r="P264" t="n">
        <v>0</v>
      </c>
      <c r="Q264" t="n">
        <v>0</v>
      </c>
      <c r="R264" t="n">
        <v>0</v>
      </c>
      <c r="S264" t="n">
        <v>0</v>
      </c>
      <c r="T264" t="n">
        <v>0</v>
      </c>
      <c r="U264" s="2" t="inlineStr"/>
    </row>
    <row r="265" ht="15" customHeight="1">
      <c r="A265" t="inlineStr">
        <is>
          <t>A 6300-2024</t>
        </is>
      </c>
      <c r="B265" t="inlineStr">
        <is>
          <t>avverkningsanmälan</t>
        </is>
      </c>
      <c r="C265" t="inlineStr">
        <is>
          <t>Föryngringsavverkning</t>
        </is>
      </c>
      <c r="D265" s="1" t="n">
        <v>45338</v>
      </c>
      <c r="E265" s="1" t="n">
        <v>46222</v>
      </c>
      <c r="F265" t="inlineStr">
        <is>
          <t>ÖREBRO LÄN</t>
        </is>
      </c>
      <c r="G265" t="inlineStr">
        <is>
          <t>LAXÅ</t>
        </is>
      </c>
      <c r="I265" t="n">
        <v>3.1</v>
      </c>
      <c r="J265" t="n">
        <v>0</v>
      </c>
      <c r="K265" t="n">
        <v>0</v>
      </c>
      <c r="L265" t="n">
        <v>0</v>
      </c>
      <c r="M265" t="n">
        <v>0</v>
      </c>
      <c r="N265" t="n">
        <v>0</v>
      </c>
      <c r="O265" t="n">
        <v>0</v>
      </c>
      <c r="P265" t="n">
        <v>0</v>
      </c>
      <c r="Q265" t="n">
        <v>0</v>
      </c>
      <c r="R265" t="n">
        <v>0</v>
      </c>
      <c r="S265" t="n">
        <v>0</v>
      </c>
      <c r="T265" t="n">
        <v>0</v>
      </c>
      <c r="U265" s="2" t="inlineStr"/>
    </row>
    <row r="266" ht="15" customHeight="1">
      <c r="A266" t="inlineStr">
        <is>
          <t>A 60732-2023</t>
        </is>
      </c>
      <c r="B266" t="inlineStr">
        <is>
          <t>avverkningsanmälan</t>
        </is>
      </c>
      <c r="C266" t="inlineStr">
        <is>
          <t>Föryngringsavverkning</t>
        </is>
      </c>
      <c r="D266" s="1" t="n">
        <v>45260</v>
      </c>
      <c r="E266" s="1" t="n">
        <v>46222</v>
      </c>
      <c r="F266" t="inlineStr">
        <is>
          <t>ÖREBRO LÄN</t>
        </is>
      </c>
      <c r="G266" t="inlineStr">
        <is>
          <t>LAXÅ</t>
        </is>
      </c>
      <c r="H266" t="inlineStr">
        <is>
          <t>Sveaskog</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22927-2024</t>
        </is>
      </c>
      <c r="B267" t="inlineStr">
        <is>
          <t>avverkningsanmälan</t>
        </is>
      </c>
      <c r="C267" t="inlineStr">
        <is>
          <t>Föryngringsavverkning</t>
        </is>
      </c>
      <c r="D267" s="1" t="n">
        <v>45448</v>
      </c>
      <c r="E267" s="1" t="n">
        <v>46222</v>
      </c>
      <c r="F267" t="inlineStr">
        <is>
          <t>ÖREBRO LÄN</t>
        </is>
      </c>
      <c r="G267" t="inlineStr">
        <is>
          <t>LAXÅ</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52442-2022</t>
        </is>
      </c>
      <c r="B268" t="inlineStr">
        <is>
          <t>avverkningsanmälan</t>
        </is>
      </c>
      <c r="C268" t="inlineStr">
        <is>
          <t>Föryngringsavverkning</t>
        </is>
      </c>
      <c r="D268" s="1" t="n">
        <v>44874</v>
      </c>
      <c r="E268" s="1" t="n">
        <v>46222</v>
      </c>
      <c r="F268" t="inlineStr">
        <is>
          <t>ÖREBRO LÄN</t>
        </is>
      </c>
      <c r="G268" t="inlineStr">
        <is>
          <t>LAXÅ</t>
        </is>
      </c>
      <c r="H268" t="inlineStr">
        <is>
          <t>Sveaskog</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34481-2022</t>
        </is>
      </c>
      <c r="B269" t="inlineStr">
        <is>
          <t>avverkningsanmälan</t>
        </is>
      </c>
      <c r="C269" t="inlineStr">
        <is>
          <t>Föryngringsavverkning</t>
        </is>
      </c>
      <c r="D269" s="1" t="n">
        <v>44792</v>
      </c>
      <c r="E269" s="1" t="n">
        <v>46222</v>
      </c>
      <c r="F269" t="inlineStr">
        <is>
          <t>ÖREBRO LÄN</t>
        </is>
      </c>
      <c r="G269" t="inlineStr">
        <is>
          <t>LAXÅ</t>
        </is>
      </c>
      <c r="I269" t="n">
        <v>1.3</v>
      </c>
      <c r="J269" t="n">
        <v>0</v>
      </c>
      <c r="K269" t="n">
        <v>0</v>
      </c>
      <c r="L269" t="n">
        <v>0</v>
      </c>
      <c r="M269" t="n">
        <v>0</v>
      </c>
      <c r="N269" t="n">
        <v>0</v>
      </c>
      <c r="O269" t="n">
        <v>0</v>
      </c>
      <c r="P269" t="n">
        <v>0</v>
      </c>
      <c r="Q269" t="n">
        <v>0</v>
      </c>
      <c r="R269" t="n">
        <v>0</v>
      </c>
      <c r="S269" t="n">
        <v>0</v>
      </c>
      <c r="T269" t="n">
        <v>0</v>
      </c>
      <c r="U269" s="2" t="inlineStr"/>
    </row>
    <row r="270" ht="15" customHeight="1">
      <c r="A270" t="inlineStr">
        <is>
          <t>A 7137-2024</t>
        </is>
      </c>
      <c r="B270" t="inlineStr">
        <is>
          <t>avverkningsanmälan</t>
        </is>
      </c>
      <c r="C270" t="inlineStr">
        <is>
          <t>Föryngringsavverkning</t>
        </is>
      </c>
      <c r="D270" s="1" t="n">
        <v>45344</v>
      </c>
      <c r="E270" s="1" t="n">
        <v>46222</v>
      </c>
      <c r="F270" t="inlineStr">
        <is>
          <t>ÖREBRO LÄN</t>
        </is>
      </c>
      <c r="G270" t="inlineStr">
        <is>
          <t>LAXÅ</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34585-2022</t>
        </is>
      </c>
      <c r="B271" t="inlineStr">
        <is>
          <t>avverkningsanmälan</t>
        </is>
      </c>
      <c r="C271" t="inlineStr">
        <is>
          <t>Föryngringsavverkning</t>
        </is>
      </c>
      <c r="D271" s="1" t="n">
        <v>44795</v>
      </c>
      <c r="E271" s="1" t="n">
        <v>46222</v>
      </c>
      <c r="F271" t="inlineStr">
        <is>
          <t>ÖREBRO LÄN</t>
        </is>
      </c>
      <c r="G271" t="inlineStr">
        <is>
          <t>LAXÅ</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51822-2022</t>
        </is>
      </c>
      <c r="B272" t="inlineStr">
        <is>
          <t>avverkningsanmälan</t>
        </is>
      </c>
      <c r="C272" t="inlineStr">
        <is>
          <t>Föryngringsavverkning</t>
        </is>
      </c>
      <c r="D272" s="1" t="n">
        <v>44872</v>
      </c>
      <c r="E272" s="1" t="n">
        <v>46222</v>
      </c>
      <c r="F272" t="inlineStr">
        <is>
          <t>ÖREBRO LÄN</t>
        </is>
      </c>
      <c r="G272" t="inlineStr">
        <is>
          <t>LAXÅ</t>
        </is>
      </c>
      <c r="H272" t="inlineStr">
        <is>
          <t>Sveaskog</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36567-2024</t>
        </is>
      </c>
      <c r="B273" t="inlineStr">
        <is>
          <t>avverkningsanmälan</t>
        </is>
      </c>
      <c r="C273" t="inlineStr">
        <is>
          <t>Föryngringsavverkning</t>
        </is>
      </c>
      <c r="D273" s="1" t="n">
        <v>45537</v>
      </c>
      <c r="E273" s="1" t="n">
        <v>46222</v>
      </c>
      <c r="F273" t="inlineStr">
        <is>
          <t>ÖREBRO LÄN</t>
        </is>
      </c>
      <c r="G273" t="inlineStr">
        <is>
          <t>LAXÅ</t>
        </is>
      </c>
      <c r="H273" t="inlineStr">
        <is>
          <t>Sveaskog</t>
        </is>
      </c>
      <c r="I273" t="n">
        <v>3.2</v>
      </c>
      <c r="J273" t="n">
        <v>0</v>
      </c>
      <c r="K273" t="n">
        <v>0</v>
      </c>
      <c r="L273" t="n">
        <v>0</v>
      </c>
      <c r="M273" t="n">
        <v>0</v>
      </c>
      <c r="N273" t="n">
        <v>0</v>
      </c>
      <c r="O273" t="n">
        <v>0</v>
      </c>
      <c r="P273" t="n">
        <v>0</v>
      </c>
      <c r="Q273" t="n">
        <v>0</v>
      </c>
      <c r="R273" t="n">
        <v>0</v>
      </c>
      <c r="S273" t="n">
        <v>0</v>
      </c>
      <c r="T273" t="n">
        <v>0</v>
      </c>
      <c r="U273" s="2" t="inlineStr"/>
    </row>
    <row r="274" ht="15" customHeight="1">
      <c r="A274" t="inlineStr">
        <is>
          <t>A 36544-2024</t>
        </is>
      </c>
      <c r="B274" t="inlineStr">
        <is>
          <t>avverkningsanmälan</t>
        </is>
      </c>
      <c r="C274" t="inlineStr">
        <is>
          <t>Föryngringsavverkning</t>
        </is>
      </c>
      <c r="D274" s="1" t="n">
        <v>45537</v>
      </c>
      <c r="E274" s="1" t="n">
        <v>46222</v>
      </c>
      <c r="F274" t="inlineStr">
        <is>
          <t>ÖREBRO LÄN</t>
        </is>
      </c>
      <c r="G274" t="inlineStr">
        <is>
          <t>LAXÅ</t>
        </is>
      </c>
      <c r="H274" t="inlineStr">
        <is>
          <t>Sveaskog</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15641-2024</t>
        </is>
      </c>
      <c r="B275" t="inlineStr">
        <is>
          <t>avverkningsanmälan</t>
        </is>
      </c>
      <c r="C275" t="inlineStr">
        <is>
          <t>Föryngringsavverkning</t>
        </is>
      </c>
      <c r="D275" s="1" t="n">
        <v>45403</v>
      </c>
      <c r="E275" s="1" t="n">
        <v>46222</v>
      </c>
      <c r="F275" t="inlineStr">
        <is>
          <t>ÖREBRO LÄN</t>
        </is>
      </c>
      <c r="G275" t="inlineStr">
        <is>
          <t>LAXÅ</t>
        </is>
      </c>
      <c r="I275" t="n">
        <v>4.6</v>
      </c>
      <c r="J275" t="n">
        <v>0</v>
      </c>
      <c r="K275" t="n">
        <v>0</v>
      </c>
      <c r="L275" t="n">
        <v>0</v>
      </c>
      <c r="M275" t="n">
        <v>0</v>
      </c>
      <c r="N275" t="n">
        <v>0</v>
      </c>
      <c r="O275" t="n">
        <v>0</v>
      </c>
      <c r="P275" t="n">
        <v>0</v>
      </c>
      <c r="Q275" t="n">
        <v>0</v>
      </c>
      <c r="R275" t="n">
        <v>0</v>
      </c>
      <c r="S275" t="n">
        <v>0</v>
      </c>
      <c r="T275" t="n">
        <v>0</v>
      </c>
      <c r="U275" s="2" t="inlineStr"/>
    </row>
    <row r="276" ht="15" customHeight="1">
      <c r="A276" t="inlineStr">
        <is>
          <t>A 7130-2024</t>
        </is>
      </c>
      <c r="B276" t="inlineStr">
        <is>
          <t>avverkningsanmälan</t>
        </is>
      </c>
      <c r="C276" t="inlineStr">
        <is>
          <t>Föryngringsavverkning</t>
        </is>
      </c>
      <c r="D276" s="1" t="n">
        <v>45344</v>
      </c>
      <c r="E276" s="1" t="n">
        <v>46222</v>
      </c>
      <c r="F276" t="inlineStr">
        <is>
          <t>ÖREBRO LÄN</t>
        </is>
      </c>
      <c r="G276" t="inlineStr">
        <is>
          <t>LAXÅ</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28130-2026</t>
        </is>
      </c>
      <c r="B277" t="inlineStr">
        <is>
          <t>avverkningsanmälan</t>
        </is>
      </c>
      <c r="C277" t="inlineStr">
        <is>
          <t>Föryngringsavverkning</t>
        </is>
      </c>
      <c r="D277" s="1" t="n">
        <v>46195</v>
      </c>
      <c r="E277" s="1" t="n">
        <v>46222</v>
      </c>
      <c r="F277" t="inlineStr">
        <is>
          <t>ÖREBRO LÄN</t>
        </is>
      </c>
      <c r="G277" t="inlineStr">
        <is>
          <t>LAXÅ</t>
        </is>
      </c>
      <c r="I277" t="n">
        <v>1.5</v>
      </c>
      <c r="J277" t="n">
        <v>0</v>
      </c>
      <c r="K277" t="n">
        <v>0</v>
      </c>
      <c r="L277" t="n">
        <v>0</v>
      </c>
      <c r="M277" t="n">
        <v>0</v>
      </c>
      <c r="N277" t="n">
        <v>0</v>
      </c>
      <c r="O277" t="n">
        <v>0</v>
      </c>
      <c r="P277" t="n">
        <v>0</v>
      </c>
      <c r="Q277" t="n">
        <v>0</v>
      </c>
      <c r="R277" t="n">
        <v>0</v>
      </c>
      <c r="S277" t="n">
        <v>0</v>
      </c>
      <c r="T277" t="n">
        <v>0</v>
      </c>
      <c r="U277" s="2" t="inlineStr"/>
    </row>
    <row r="278" ht="15" customHeight="1">
      <c r="A278" t="inlineStr">
        <is>
          <t>A 22063-2026</t>
        </is>
      </c>
      <c r="B278" t="inlineStr">
        <is>
          <t>avverkningsanmälan</t>
        </is>
      </c>
      <c r="C278" t="inlineStr">
        <is>
          <t>Avverkning för annat ändamål</t>
        </is>
      </c>
      <c r="D278" s="1" t="n">
        <v>46153</v>
      </c>
      <c r="E278" s="1" t="n">
        <v>46222</v>
      </c>
      <c r="F278" t="inlineStr">
        <is>
          <t>ÖREBRO LÄN</t>
        </is>
      </c>
      <c r="G278" t="inlineStr">
        <is>
          <t>LAXÅ</t>
        </is>
      </c>
      <c r="H278" t="inlineStr">
        <is>
          <t>Sveaskog</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28821-2026</t>
        </is>
      </c>
      <c r="B279" t="inlineStr">
        <is>
          <t>avverkningsanmälan</t>
        </is>
      </c>
      <c r="C279" t="inlineStr">
        <is>
          <t>Föryngringsavverkning</t>
        </is>
      </c>
      <c r="D279" s="1" t="n">
        <v>46198</v>
      </c>
      <c r="E279" s="1" t="n">
        <v>46222</v>
      </c>
      <c r="F279" t="inlineStr">
        <is>
          <t>ÖREBRO LÄN</t>
        </is>
      </c>
      <c r="G279" t="inlineStr">
        <is>
          <t>LAXÅ</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28822-2026</t>
        </is>
      </c>
      <c r="B280" t="inlineStr">
        <is>
          <t>avverkningsanmälan</t>
        </is>
      </c>
      <c r="C280" t="inlineStr">
        <is>
          <t>Föryngringsavverkning</t>
        </is>
      </c>
      <c r="D280" s="1" t="n">
        <v>46198</v>
      </c>
      <c r="E280" s="1" t="n">
        <v>46222</v>
      </c>
      <c r="F280" t="inlineStr">
        <is>
          <t>ÖREBRO LÄN</t>
        </is>
      </c>
      <c r="G280" t="inlineStr">
        <is>
          <t>LAXÅ</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36421-2024</t>
        </is>
      </c>
      <c r="B281" t="inlineStr">
        <is>
          <t>avverkningsanmälan</t>
        </is>
      </c>
      <c r="C281" t="inlineStr">
        <is>
          <t>Föryngringsavverkning</t>
        </is>
      </c>
      <c r="D281" s="1" t="n">
        <v>45536</v>
      </c>
      <c r="E281" s="1" t="n">
        <v>46222</v>
      </c>
      <c r="F281" t="inlineStr">
        <is>
          <t>ÖREBRO LÄN</t>
        </is>
      </c>
      <c r="G281" t="inlineStr">
        <is>
          <t>LAXÅ</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62439-2021</t>
        </is>
      </c>
      <c r="B282" t="inlineStr">
        <is>
          <t>avverkningsanmälan</t>
        </is>
      </c>
      <c r="C282" t="inlineStr">
        <is>
          <t>Föryngringsavverkning</t>
        </is>
      </c>
      <c r="D282" s="1" t="n">
        <v>44503</v>
      </c>
      <c r="E282" s="1" t="n">
        <v>46222</v>
      </c>
      <c r="F282" t="inlineStr">
        <is>
          <t>ÖREBRO LÄN</t>
        </is>
      </c>
      <c r="G282" t="inlineStr">
        <is>
          <t>LAXÅ</t>
        </is>
      </c>
      <c r="H282" t="inlineStr">
        <is>
          <t>Sveaskog</t>
        </is>
      </c>
      <c r="I282" t="n">
        <v>2.8</v>
      </c>
      <c r="J282" t="n">
        <v>0</v>
      </c>
      <c r="K282" t="n">
        <v>0</v>
      </c>
      <c r="L282" t="n">
        <v>0</v>
      </c>
      <c r="M282" t="n">
        <v>0</v>
      </c>
      <c r="N282" t="n">
        <v>0</v>
      </c>
      <c r="O282" t="n">
        <v>0</v>
      </c>
      <c r="P282" t="n">
        <v>0</v>
      </c>
      <c r="Q282" t="n">
        <v>0</v>
      </c>
      <c r="R282" t="n">
        <v>0</v>
      </c>
      <c r="S282" t="n">
        <v>0</v>
      </c>
      <c r="T282" t="n">
        <v>0</v>
      </c>
      <c r="U282" s="2" t="inlineStr"/>
    </row>
    <row r="283" ht="15" customHeight="1">
      <c r="A283" t="inlineStr">
        <is>
          <t>A 6842-2022</t>
        </is>
      </c>
      <c r="B283" t="inlineStr">
        <is>
          <t>avverkningsanmälan</t>
        </is>
      </c>
      <c r="C283" t="inlineStr">
        <is>
          <t>Föryngringsavverkning</t>
        </is>
      </c>
      <c r="D283" s="1" t="n">
        <v>44602</v>
      </c>
      <c r="E283" s="1" t="n">
        <v>46222</v>
      </c>
      <c r="F283" t="inlineStr">
        <is>
          <t>ÖREBRO LÄN</t>
        </is>
      </c>
      <c r="G283" t="inlineStr">
        <is>
          <t>LAXÅ</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59455-2022</t>
        </is>
      </c>
      <c r="B284" t="inlineStr">
        <is>
          <t>avverkningsanmälan</t>
        </is>
      </c>
      <c r="C284" t="inlineStr">
        <is>
          <t>Föryngringsavverkning</t>
        </is>
      </c>
      <c r="D284" s="1" t="n">
        <v>44907</v>
      </c>
      <c r="E284" s="1" t="n">
        <v>46222</v>
      </c>
      <c r="F284" t="inlineStr">
        <is>
          <t>ÖREBRO LÄN</t>
        </is>
      </c>
      <c r="G284" t="inlineStr">
        <is>
          <t>LAXÅ</t>
        </is>
      </c>
      <c r="H284" t="inlineStr">
        <is>
          <t>Sveaskog</t>
        </is>
      </c>
      <c r="I284" t="n">
        <v>4</v>
      </c>
      <c r="J284" t="n">
        <v>0</v>
      </c>
      <c r="K284" t="n">
        <v>0</v>
      </c>
      <c r="L284" t="n">
        <v>0</v>
      </c>
      <c r="M284" t="n">
        <v>0</v>
      </c>
      <c r="N284" t="n">
        <v>0</v>
      </c>
      <c r="O284" t="n">
        <v>0</v>
      </c>
      <c r="P284" t="n">
        <v>0</v>
      </c>
      <c r="Q284" t="n">
        <v>0</v>
      </c>
      <c r="R284" t="n">
        <v>0</v>
      </c>
      <c r="S284" t="n">
        <v>0</v>
      </c>
      <c r="T284" t="n">
        <v>0</v>
      </c>
      <c r="U284" s="2" t="inlineStr"/>
    </row>
    <row r="285" ht="15" customHeight="1">
      <c r="A285" t="inlineStr">
        <is>
          <t>A 542-2026</t>
        </is>
      </c>
      <c r="B285" t="inlineStr">
        <is>
          <t>avverkningsanmälan</t>
        </is>
      </c>
      <c r="C285" t="inlineStr">
        <is>
          <t>Föryngringsavverkning</t>
        </is>
      </c>
      <c r="D285" s="1" t="n">
        <v>46029</v>
      </c>
      <c r="E285" s="1" t="n">
        <v>46222</v>
      </c>
      <c r="F285" t="inlineStr">
        <is>
          <t>ÖREBRO LÄN</t>
        </is>
      </c>
      <c r="G285" t="inlineStr">
        <is>
          <t>LAXÅ</t>
        </is>
      </c>
      <c r="H285" t="inlineStr">
        <is>
          <t>Kyrkan</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22501-2026</t>
        </is>
      </c>
      <c r="B286" t="inlineStr">
        <is>
          <t>avverkningsanmälan</t>
        </is>
      </c>
      <c r="C286" t="inlineStr">
        <is>
          <t>Föryngringsavverkning</t>
        </is>
      </c>
      <c r="D286" s="1" t="n">
        <v>46155</v>
      </c>
      <c r="E286" s="1" t="n">
        <v>46222</v>
      </c>
      <c r="F286" t="inlineStr">
        <is>
          <t>ÖREBRO LÄN</t>
        </is>
      </c>
      <c r="G286" t="inlineStr">
        <is>
          <t>LAXÅ</t>
        </is>
      </c>
      <c r="H286" t="inlineStr">
        <is>
          <t>Sveaskog</t>
        </is>
      </c>
      <c r="I286" t="n">
        <v>4.4</v>
      </c>
      <c r="J286" t="n">
        <v>0</v>
      </c>
      <c r="K286" t="n">
        <v>0</v>
      </c>
      <c r="L286" t="n">
        <v>0</v>
      </c>
      <c r="M286" t="n">
        <v>0</v>
      </c>
      <c r="N286" t="n">
        <v>0</v>
      </c>
      <c r="O286" t="n">
        <v>0</v>
      </c>
      <c r="P286" t="n">
        <v>0</v>
      </c>
      <c r="Q286" t="n">
        <v>0</v>
      </c>
      <c r="R286" t="n">
        <v>0</v>
      </c>
      <c r="S286" t="n">
        <v>0</v>
      </c>
      <c r="T286" t="n">
        <v>0</v>
      </c>
      <c r="U286" s="2" t="inlineStr"/>
    </row>
    <row r="287" ht="15" customHeight="1">
      <c r="A287" t="inlineStr">
        <is>
          <t>A 28827-2026</t>
        </is>
      </c>
      <c r="B287" t="inlineStr">
        <is>
          <t>avverkningsanmälan</t>
        </is>
      </c>
      <c r="C287" t="inlineStr">
        <is>
          <t>Föryngringsavverkning</t>
        </is>
      </c>
      <c r="D287" s="1" t="n">
        <v>46198</v>
      </c>
      <c r="E287" s="1" t="n">
        <v>46222</v>
      </c>
      <c r="F287" t="inlineStr">
        <is>
          <t>ÖREBRO LÄN</t>
        </is>
      </c>
      <c r="G287" t="inlineStr">
        <is>
          <t>LAXÅ</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6158-2025</t>
        </is>
      </c>
      <c r="B288" t="inlineStr">
        <is>
          <t>avverkningsanmälan</t>
        </is>
      </c>
      <c r="C288" t="inlineStr">
        <is>
          <t>Föryngringsavverkning</t>
        </is>
      </c>
      <c r="D288" s="1" t="n">
        <v>45698</v>
      </c>
      <c r="E288" s="1" t="n">
        <v>46222</v>
      </c>
      <c r="F288" t="inlineStr">
        <is>
          <t>ÖREBRO LÄN</t>
        </is>
      </c>
      <c r="G288" t="inlineStr">
        <is>
          <t>LAXÅ</t>
        </is>
      </c>
      <c r="H288" t="inlineStr">
        <is>
          <t>Sveaskog</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3443-2023</t>
        </is>
      </c>
      <c r="B289" t="inlineStr">
        <is>
          <t>avverkningsanmälan</t>
        </is>
      </c>
      <c r="C289" t="inlineStr">
        <is>
          <t>Föryngringsavverkning</t>
        </is>
      </c>
      <c r="D289" s="1" t="n">
        <v>44949</v>
      </c>
      <c r="E289" s="1" t="n">
        <v>46222</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44076-2024</t>
        </is>
      </c>
      <c r="B290" t="inlineStr">
        <is>
          <t>avverkningsanmälan</t>
        </is>
      </c>
      <c r="C290" t="inlineStr">
        <is>
          <t>Föryngringsavverkning</t>
        </is>
      </c>
      <c r="D290" s="1" t="n">
        <v>45572</v>
      </c>
      <c r="E290" s="1" t="n">
        <v>46222</v>
      </c>
      <c r="F290" t="inlineStr">
        <is>
          <t>ÖREBRO LÄN</t>
        </is>
      </c>
      <c r="G290" t="inlineStr">
        <is>
          <t>LAXÅ</t>
        </is>
      </c>
      <c r="I290" t="n">
        <v>2.8</v>
      </c>
      <c r="J290" t="n">
        <v>0</v>
      </c>
      <c r="K290" t="n">
        <v>0</v>
      </c>
      <c r="L290" t="n">
        <v>0</v>
      </c>
      <c r="M290" t="n">
        <v>0</v>
      </c>
      <c r="N290" t="n">
        <v>0</v>
      </c>
      <c r="O290" t="n">
        <v>0</v>
      </c>
      <c r="P290" t="n">
        <v>0</v>
      </c>
      <c r="Q290" t="n">
        <v>0</v>
      </c>
      <c r="R290" t="n">
        <v>0</v>
      </c>
      <c r="S290" t="n">
        <v>0</v>
      </c>
      <c r="T290" t="n">
        <v>0</v>
      </c>
      <c r="U290" s="2" t="inlineStr"/>
    </row>
    <row r="291" ht="15" customHeight="1">
      <c r="A291" t="inlineStr">
        <is>
          <t>A 59892-2021</t>
        </is>
      </c>
      <c r="B291" t="inlineStr">
        <is>
          <t>avverkningsanmälan</t>
        </is>
      </c>
      <c r="C291" t="inlineStr">
        <is>
          <t>Föryngringsavverkning</t>
        </is>
      </c>
      <c r="D291" s="1" t="n">
        <v>44494</v>
      </c>
      <c r="E291" s="1" t="n">
        <v>46222</v>
      </c>
      <c r="F291" t="inlineStr">
        <is>
          <t>ÖREBRO LÄN</t>
        </is>
      </c>
      <c r="G291" t="inlineStr">
        <is>
          <t>LAXÅ</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22493-2026</t>
        </is>
      </c>
      <c r="B292" t="inlineStr">
        <is>
          <t>avverkningsanmälan</t>
        </is>
      </c>
      <c r="C292" t="inlineStr">
        <is>
          <t>Föryngringsavverkning</t>
        </is>
      </c>
      <c r="D292" s="1" t="n">
        <v>46155</v>
      </c>
      <c r="E292" s="1" t="n">
        <v>46222</v>
      </c>
      <c r="F292" t="inlineStr">
        <is>
          <t>ÖREBRO LÄN</t>
        </is>
      </c>
      <c r="G292" t="inlineStr">
        <is>
          <t>LAXÅ</t>
        </is>
      </c>
      <c r="H292" t="inlineStr">
        <is>
          <t>Sveaskog</t>
        </is>
      </c>
      <c r="I292" t="n">
        <v>3</v>
      </c>
      <c r="J292" t="n">
        <v>0</v>
      </c>
      <c r="K292" t="n">
        <v>0</v>
      </c>
      <c r="L292" t="n">
        <v>0</v>
      </c>
      <c r="M292" t="n">
        <v>0</v>
      </c>
      <c r="N292" t="n">
        <v>0</v>
      </c>
      <c r="O292" t="n">
        <v>0</v>
      </c>
      <c r="P292" t="n">
        <v>0</v>
      </c>
      <c r="Q292" t="n">
        <v>0</v>
      </c>
      <c r="R292" t="n">
        <v>0</v>
      </c>
      <c r="S292" t="n">
        <v>0</v>
      </c>
      <c r="T292" t="n">
        <v>0</v>
      </c>
      <c r="U292" s="2" t="inlineStr"/>
    </row>
    <row r="293" ht="15" customHeight="1">
      <c r="A293" t="inlineStr">
        <is>
          <t>A 61046-2023</t>
        </is>
      </c>
      <c r="B293" t="inlineStr">
        <is>
          <t>avverkningsanmälan</t>
        </is>
      </c>
      <c r="C293" t="inlineStr">
        <is>
          <t>Föryngringsavverkning</t>
        </is>
      </c>
      <c r="D293" s="1" t="n">
        <v>45261</v>
      </c>
      <c r="E293" s="1" t="n">
        <v>46222</v>
      </c>
      <c r="F293" t="inlineStr">
        <is>
          <t>ÖREBRO LÄN</t>
        </is>
      </c>
      <c r="G293" t="inlineStr">
        <is>
          <t>LAXÅ</t>
        </is>
      </c>
      <c r="H293" t="inlineStr">
        <is>
          <t>Sveaskog</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29163-2026</t>
        </is>
      </c>
      <c r="B294" t="inlineStr">
        <is>
          <t>avverkningsanmälan</t>
        </is>
      </c>
      <c r="C294" t="inlineStr">
        <is>
          <t>Föryngringsavverkning</t>
        </is>
      </c>
      <c r="D294" s="1" t="n">
        <v>46202</v>
      </c>
      <c r="E294" s="1" t="n">
        <v>46222</v>
      </c>
      <c r="F294" t="inlineStr">
        <is>
          <t>ÖREBRO LÄN</t>
        </is>
      </c>
      <c r="G294" t="inlineStr">
        <is>
          <t>LAXÅ</t>
        </is>
      </c>
      <c r="H294" t="inlineStr">
        <is>
          <t>Sveaskog</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29161-2026</t>
        </is>
      </c>
      <c r="B295" t="inlineStr">
        <is>
          <t>avverkningsanmälan</t>
        </is>
      </c>
      <c r="C295" t="inlineStr">
        <is>
          <t>Föryngringsavverkning</t>
        </is>
      </c>
      <c r="D295" s="1" t="n">
        <v>46202</v>
      </c>
      <c r="E295" s="1" t="n">
        <v>46222</v>
      </c>
      <c r="F295" t="inlineStr">
        <is>
          <t>ÖREBRO LÄN</t>
        </is>
      </c>
      <c r="G295" t="inlineStr">
        <is>
          <t>LAXÅ</t>
        </is>
      </c>
      <c r="H295" t="inlineStr">
        <is>
          <t>Sveaskog</t>
        </is>
      </c>
      <c r="I295" t="n">
        <v>3.3</v>
      </c>
      <c r="J295" t="n">
        <v>0</v>
      </c>
      <c r="K295" t="n">
        <v>0</v>
      </c>
      <c r="L295" t="n">
        <v>0</v>
      </c>
      <c r="M295" t="n">
        <v>0</v>
      </c>
      <c r="N295" t="n">
        <v>0</v>
      </c>
      <c r="O295" t="n">
        <v>0</v>
      </c>
      <c r="P295" t="n">
        <v>0</v>
      </c>
      <c r="Q295" t="n">
        <v>0</v>
      </c>
      <c r="R295" t="n">
        <v>0</v>
      </c>
      <c r="S295" t="n">
        <v>0</v>
      </c>
      <c r="T295" t="n">
        <v>0</v>
      </c>
      <c r="U295" s="2" t="inlineStr"/>
    </row>
    <row r="296" ht="15" customHeight="1">
      <c r="A296" t="inlineStr">
        <is>
          <t>A 29176-2026</t>
        </is>
      </c>
      <c r="B296" t="inlineStr">
        <is>
          <t>avverkningsanmälan</t>
        </is>
      </c>
      <c r="C296" t="inlineStr">
        <is>
          <t>Föryngringsavverkning</t>
        </is>
      </c>
      <c r="D296" s="1" t="n">
        <v>46202</v>
      </c>
      <c r="E296" s="1" t="n">
        <v>46222</v>
      </c>
      <c r="F296" t="inlineStr">
        <is>
          <t>ÖREBRO LÄN</t>
        </is>
      </c>
      <c r="G296" t="inlineStr">
        <is>
          <t>LAXÅ</t>
        </is>
      </c>
      <c r="H296" t="inlineStr">
        <is>
          <t>Sveaskog</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61677-2022</t>
        </is>
      </c>
      <c r="B297" t="inlineStr">
        <is>
          <t>avverkningsanmälan</t>
        </is>
      </c>
      <c r="C297" t="inlineStr">
        <is>
          <t>Föryngringsavverkning</t>
        </is>
      </c>
      <c r="D297" s="1" t="n">
        <v>44917</v>
      </c>
      <c r="E297" s="1" t="n">
        <v>46222</v>
      </c>
      <c r="F297" t="inlineStr">
        <is>
          <t>ÖREBRO LÄN</t>
        </is>
      </c>
      <c r="G297" t="inlineStr">
        <is>
          <t>LAXÅ</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40815-2024</t>
        </is>
      </c>
      <c r="B298" t="inlineStr">
        <is>
          <t>avverkningsanmälan</t>
        </is>
      </c>
      <c r="C298" t="inlineStr">
        <is>
          <t>Föryngringsavverkning</t>
        </is>
      </c>
      <c r="D298" s="1" t="n">
        <v>45558</v>
      </c>
      <c r="E298" s="1" t="n">
        <v>46222</v>
      </c>
      <c r="F298" t="inlineStr">
        <is>
          <t>ÖREBRO LÄN</t>
        </is>
      </c>
      <c r="G298" t="inlineStr">
        <is>
          <t>LAXÅ</t>
        </is>
      </c>
      <c r="H298" t="inlineStr">
        <is>
          <t>Sveaskog</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23072-2026</t>
        </is>
      </c>
      <c r="B299" t="inlineStr">
        <is>
          <t>avverkningsanmälan</t>
        </is>
      </c>
      <c r="C299" t="inlineStr">
        <is>
          <t>Föryngringsavverkning</t>
        </is>
      </c>
      <c r="D299" s="1" t="n">
        <v>46161</v>
      </c>
      <c r="E299" s="1" t="n">
        <v>46222</v>
      </c>
      <c r="F299" t="inlineStr">
        <is>
          <t>ÖREBRO LÄN</t>
        </is>
      </c>
      <c r="G299" t="inlineStr">
        <is>
          <t>LAXÅ</t>
        </is>
      </c>
      <c r="H299" t="inlineStr">
        <is>
          <t>Sveaskog</t>
        </is>
      </c>
      <c r="I299" t="n">
        <v>4.4</v>
      </c>
      <c r="J299" t="n">
        <v>0</v>
      </c>
      <c r="K299" t="n">
        <v>0</v>
      </c>
      <c r="L299" t="n">
        <v>0</v>
      </c>
      <c r="M299" t="n">
        <v>0</v>
      </c>
      <c r="N299" t="n">
        <v>0</v>
      </c>
      <c r="O299" t="n">
        <v>0</v>
      </c>
      <c r="P299" t="n">
        <v>0</v>
      </c>
      <c r="Q299" t="n">
        <v>0</v>
      </c>
      <c r="R299" t="n">
        <v>0</v>
      </c>
      <c r="S299" t="n">
        <v>0</v>
      </c>
      <c r="T299" t="n">
        <v>0</v>
      </c>
      <c r="U299" s="2" t="inlineStr"/>
    </row>
    <row r="300" ht="15" customHeight="1">
      <c r="A300" t="inlineStr">
        <is>
          <t>A 23074-2026</t>
        </is>
      </c>
      <c r="B300" t="inlineStr">
        <is>
          <t>avverkningsanmälan</t>
        </is>
      </c>
      <c r="C300" t="inlineStr">
        <is>
          <t>Föryngringsavverkning</t>
        </is>
      </c>
      <c r="D300" s="1" t="n">
        <v>46161</v>
      </c>
      <c r="E300" s="1" t="n">
        <v>46222</v>
      </c>
      <c r="F300" t="inlineStr">
        <is>
          <t>ÖREBRO LÄN</t>
        </is>
      </c>
      <c r="G300" t="inlineStr">
        <is>
          <t>LAXÅ</t>
        </is>
      </c>
      <c r="H300" t="inlineStr">
        <is>
          <t>Sveaskog</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23076-2026</t>
        </is>
      </c>
      <c r="B301" t="inlineStr">
        <is>
          <t>avverkningsanmälan</t>
        </is>
      </c>
      <c r="C301" t="inlineStr">
        <is>
          <t>Föryngringsavverkning</t>
        </is>
      </c>
      <c r="D301" s="1" t="n">
        <v>46161</v>
      </c>
      <c r="E301" s="1" t="n">
        <v>46222</v>
      </c>
      <c r="F301" t="inlineStr">
        <is>
          <t>ÖREBRO LÄN</t>
        </is>
      </c>
      <c r="G301" t="inlineStr">
        <is>
          <t>LAXÅ</t>
        </is>
      </c>
      <c r="H301" t="inlineStr">
        <is>
          <t>Sveaskog</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62594-2023</t>
        </is>
      </c>
      <c r="B302" t="inlineStr">
        <is>
          <t>avverkningsanmälan</t>
        </is>
      </c>
      <c r="C302" t="inlineStr">
        <is>
          <t>Föryngringsavverkning</t>
        </is>
      </c>
      <c r="D302" s="1" t="n">
        <v>45271</v>
      </c>
      <c r="E302" s="1" t="n">
        <v>46222</v>
      </c>
      <c r="F302" t="inlineStr">
        <is>
          <t>ÖREBRO LÄN</t>
        </is>
      </c>
      <c r="G302" t="inlineStr">
        <is>
          <t>LAXÅ</t>
        </is>
      </c>
      <c r="I302" t="n">
        <v>3.3</v>
      </c>
      <c r="J302" t="n">
        <v>0</v>
      </c>
      <c r="K302" t="n">
        <v>0</v>
      </c>
      <c r="L302" t="n">
        <v>0</v>
      </c>
      <c r="M302" t="n">
        <v>0</v>
      </c>
      <c r="N302" t="n">
        <v>0</v>
      </c>
      <c r="O302" t="n">
        <v>0</v>
      </c>
      <c r="P302" t="n">
        <v>0</v>
      </c>
      <c r="Q302" t="n">
        <v>0</v>
      </c>
      <c r="R302" t="n">
        <v>0</v>
      </c>
      <c r="S302" t="n">
        <v>0</v>
      </c>
      <c r="T302" t="n">
        <v>0</v>
      </c>
      <c r="U302" s="2" t="inlineStr"/>
    </row>
    <row r="303" ht="15" customHeight="1">
      <c r="A303" t="inlineStr">
        <is>
          <t>A 23068-2026</t>
        </is>
      </c>
      <c r="B303" t="inlineStr">
        <is>
          <t>avverkningsanmälan</t>
        </is>
      </c>
      <c r="C303" t="inlineStr">
        <is>
          <t>Föryngringsavverkning</t>
        </is>
      </c>
      <c r="D303" s="1" t="n">
        <v>46161</v>
      </c>
      <c r="E303" s="1" t="n">
        <v>46222</v>
      </c>
      <c r="F303" t="inlineStr">
        <is>
          <t>ÖREBRO LÄN</t>
        </is>
      </c>
      <c r="G303" t="inlineStr">
        <is>
          <t>LAXÅ</t>
        </is>
      </c>
      <c r="H303" t="inlineStr">
        <is>
          <t>Sveaskog</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38564-2022</t>
        </is>
      </c>
      <c r="B304" t="inlineStr">
        <is>
          <t>avverkningsanmälan</t>
        </is>
      </c>
      <c r="C304" t="inlineStr">
        <is>
          <t>Föryngringsavverkning</t>
        </is>
      </c>
      <c r="D304" s="1" t="n">
        <v>44813</v>
      </c>
      <c r="E304" s="1" t="n">
        <v>46222</v>
      </c>
      <c r="F304" t="inlineStr">
        <is>
          <t>ÖREBRO LÄN</t>
        </is>
      </c>
      <c r="G304" t="inlineStr">
        <is>
          <t>LAXÅ</t>
        </is>
      </c>
      <c r="H304" t="inlineStr">
        <is>
          <t>Sveaskog</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23071-2026</t>
        </is>
      </c>
      <c r="B305" t="inlineStr">
        <is>
          <t>avverkningsanmälan</t>
        </is>
      </c>
      <c r="C305" t="inlineStr">
        <is>
          <t>Föryngringsavverkning</t>
        </is>
      </c>
      <c r="D305" s="1" t="n">
        <v>46161</v>
      </c>
      <c r="E305" s="1" t="n">
        <v>46222</v>
      </c>
      <c r="F305" t="inlineStr">
        <is>
          <t>ÖREBRO LÄN</t>
        </is>
      </c>
      <c r="G305" t="inlineStr">
        <is>
          <t>LAXÅ</t>
        </is>
      </c>
      <c r="H305" t="inlineStr">
        <is>
          <t>Sveaskog</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23075-2026</t>
        </is>
      </c>
      <c r="B306" t="inlineStr">
        <is>
          <t>avverkningsanmälan</t>
        </is>
      </c>
      <c r="C306" t="inlineStr">
        <is>
          <t>Föryngringsavverkning</t>
        </is>
      </c>
      <c r="D306" s="1" t="n">
        <v>46161</v>
      </c>
      <c r="E306" s="1" t="n">
        <v>46222</v>
      </c>
      <c r="F306" t="inlineStr">
        <is>
          <t>ÖREBRO LÄN</t>
        </is>
      </c>
      <c r="G306" t="inlineStr">
        <is>
          <t>LAXÅ</t>
        </is>
      </c>
      <c r="H306" t="inlineStr">
        <is>
          <t>Sveaskog</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54093-2023</t>
        </is>
      </c>
      <c r="B307" t="inlineStr">
        <is>
          <t>avverkningsanmälan</t>
        </is>
      </c>
      <c r="C307" t="inlineStr">
        <is>
          <t>Avverkning för annat ändamål</t>
        </is>
      </c>
      <c r="D307" s="1" t="n">
        <v>45225</v>
      </c>
      <c r="E307" s="1" t="n">
        <v>46222</v>
      </c>
      <c r="F307" t="inlineStr">
        <is>
          <t>ÖREBRO LÄN</t>
        </is>
      </c>
      <c r="G307" t="inlineStr">
        <is>
          <t>LAXÅ</t>
        </is>
      </c>
      <c r="I307" t="n">
        <v>5.9</v>
      </c>
      <c r="J307" t="n">
        <v>0</v>
      </c>
      <c r="K307" t="n">
        <v>0</v>
      </c>
      <c r="L307" t="n">
        <v>0</v>
      </c>
      <c r="M307" t="n">
        <v>0</v>
      </c>
      <c r="N307" t="n">
        <v>0</v>
      </c>
      <c r="O307" t="n">
        <v>0</v>
      </c>
      <c r="P307" t="n">
        <v>0</v>
      </c>
      <c r="Q307" t="n">
        <v>0</v>
      </c>
      <c r="R307" t="n">
        <v>0</v>
      </c>
      <c r="S307" t="n">
        <v>0</v>
      </c>
      <c r="T307" t="n">
        <v>0</v>
      </c>
      <c r="U307" s="2" t="inlineStr"/>
    </row>
    <row r="308" ht="15" customHeight="1">
      <c r="A308" t="inlineStr">
        <is>
          <t>A 5917-2023</t>
        </is>
      </c>
      <c r="B308" t="inlineStr">
        <is>
          <t>avverkningsanmälan</t>
        </is>
      </c>
      <c r="C308" t="inlineStr">
        <is>
          <t>Föryngringsavverkning</t>
        </is>
      </c>
      <c r="D308" s="1" t="n">
        <v>44963</v>
      </c>
      <c r="E308" s="1" t="n">
        <v>46222</v>
      </c>
      <c r="F308" t="inlineStr">
        <is>
          <t>ÖREBRO LÄN</t>
        </is>
      </c>
      <c r="G308" t="inlineStr">
        <is>
          <t>LAXÅ</t>
        </is>
      </c>
      <c r="I308" t="n">
        <v>3.1</v>
      </c>
      <c r="J308" t="n">
        <v>0</v>
      </c>
      <c r="K308" t="n">
        <v>0</v>
      </c>
      <c r="L308" t="n">
        <v>0</v>
      </c>
      <c r="M308" t="n">
        <v>0</v>
      </c>
      <c r="N308" t="n">
        <v>0</v>
      </c>
      <c r="O308" t="n">
        <v>0</v>
      </c>
      <c r="P308" t="n">
        <v>0</v>
      </c>
      <c r="Q308" t="n">
        <v>0</v>
      </c>
      <c r="R308" t="n">
        <v>0</v>
      </c>
      <c r="S308" t="n">
        <v>0</v>
      </c>
      <c r="T308" t="n">
        <v>0</v>
      </c>
      <c r="U308" s="2" t="inlineStr"/>
    </row>
    <row r="309" ht="15" customHeight="1">
      <c r="A309" t="inlineStr">
        <is>
          <t>A 23073-2026</t>
        </is>
      </c>
      <c r="B309" t="inlineStr">
        <is>
          <t>avverkningsanmälan</t>
        </is>
      </c>
      <c r="C309" t="inlineStr">
        <is>
          <t>Föryngringsavverkning</t>
        </is>
      </c>
      <c r="D309" s="1" t="n">
        <v>46161</v>
      </c>
      <c r="E309" s="1" t="n">
        <v>46222</v>
      </c>
      <c r="F309" t="inlineStr">
        <is>
          <t>ÖREBRO LÄN</t>
        </is>
      </c>
      <c r="G309" t="inlineStr">
        <is>
          <t>LAXÅ</t>
        </is>
      </c>
      <c r="H309" t="inlineStr">
        <is>
          <t>Sveaskog</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34535-2024</t>
        </is>
      </c>
      <c r="B310" t="inlineStr">
        <is>
          <t>avverkningsanmälan</t>
        </is>
      </c>
      <c r="C310" t="inlineStr">
        <is>
          <t>Föryngringsavverkning</t>
        </is>
      </c>
      <c r="D310" s="1" t="n">
        <v>45525</v>
      </c>
      <c r="E310" s="1" t="n">
        <v>46222</v>
      </c>
      <c r="F310" t="inlineStr">
        <is>
          <t>ÖREBRO LÄN</t>
        </is>
      </c>
      <c r="G310" t="inlineStr">
        <is>
          <t>LAXÅ</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14008-2024</t>
        </is>
      </c>
      <c r="B311" t="inlineStr">
        <is>
          <t>avverkningsanmälan</t>
        </is>
      </c>
      <c r="C311" t="inlineStr">
        <is>
          <t>Avverkning för att bevara och utveckla /försöksver</t>
        </is>
      </c>
      <c r="D311" s="1" t="n">
        <v>45392</v>
      </c>
      <c r="E311" s="1" t="n">
        <v>46222</v>
      </c>
      <c r="F311" t="inlineStr">
        <is>
          <t>ÖREBRO LÄN</t>
        </is>
      </c>
      <c r="G311" t="inlineStr">
        <is>
          <t>LAXÅ</t>
        </is>
      </c>
      <c r="H311" t="inlineStr">
        <is>
          <t>Sveaskog</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28112-2022</t>
        </is>
      </c>
      <c r="B312" t="inlineStr">
        <is>
          <t>avverkningsanmälan</t>
        </is>
      </c>
      <c r="C312" t="inlineStr">
        <is>
          <t>Föryngringsavverkning</t>
        </is>
      </c>
      <c r="D312" s="1" t="n">
        <v>44746</v>
      </c>
      <c r="E312" s="1" t="n">
        <v>46222</v>
      </c>
      <c r="F312" t="inlineStr">
        <is>
          <t>ÖREBRO LÄN</t>
        </is>
      </c>
      <c r="G312" t="inlineStr">
        <is>
          <t>LAXÅ</t>
        </is>
      </c>
      <c r="H312" t="inlineStr">
        <is>
          <t>Sveaskog</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21005-2024</t>
        </is>
      </c>
      <c r="B313" t="inlineStr">
        <is>
          <t>avverkningsanmälan</t>
        </is>
      </c>
      <c r="C313" t="inlineStr">
        <is>
          <t>Föryngringsavverkning</t>
        </is>
      </c>
      <c r="D313" s="1" t="n">
        <v>45439</v>
      </c>
      <c r="E313" s="1" t="n">
        <v>46222</v>
      </c>
      <c r="F313" t="inlineStr">
        <is>
          <t>ÖREBRO LÄN</t>
        </is>
      </c>
      <c r="G313" t="inlineStr">
        <is>
          <t>LAXÅ</t>
        </is>
      </c>
      <c r="I313" t="n">
        <v>2</v>
      </c>
      <c r="J313" t="n">
        <v>0</v>
      </c>
      <c r="K313" t="n">
        <v>0</v>
      </c>
      <c r="L313" t="n">
        <v>0</v>
      </c>
      <c r="M313" t="n">
        <v>0</v>
      </c>
      <c r="N313" t="n">
        <v>0</v>
      </c>
      <c r="O313" t="n">
        <v>0</v>
      </c>
      <c r="P313" t="n">
        <v>0</v>
      </c>
      <c r="Q313" t="n">
        <v>0</v>
      </c>
      <c r="R313" t="n">
        <v>0</v>
      </c>
      <c r="S313" t="n">
        <v>0</v>
      </c>
      <c r="T313" t="n">
        <v>0</v>
      </c>
      <c r="U313" s="2" t="inlineStr"/>
    </row>
    <row r="314" ht="15" customHeight="1">
      <c r="A314" t="inlineStr">
        <is>
          <t>A 34218-2023</t>
        </is>
      </c>
      <c r="B314" t="inlineStr">
        <is>
          <t>avverkningsanmälan</t>
        </is>
      </c>
      <c r="C314" t="inlineStr">
        <is>
          <t>Föryngringsavverkning</t>
        </is>
      </c>
      <c r="D314" s="1" t="n">
        <v>45126</v>
      </c>
      <c r="E314" s="1" t="n">
        <v>46222</v>
      </c>
      <c r="F314" t="inlineStr">
        <is>
          <t>ÖREBRO LÄN</t>
        </is>
      </c>
      <c r="G314" t="inlineStr">
        <is>
          <t>LAXÅ</t>
        </is>
      </c>
      <c r="I314" t="n">
        <v>3.4</v>
      </c>
      <c r="J314" t="n">
        <v>0</v>
      </c>
      <c r="K314" t="n">
        <v>0</v>
      </c>
      <c r="L314" t="n">
        <v>0</v>
      </c>
      <c r="M314" t="n">
        <v>0</v>
      </c>
      <c r="N314" t="n">
        <v>0</v>
      </c>
      <c r="O314" t="n">
        <v>0</v>
      </c>
      <c r="P314" t="n">
        <v>0</v>
      </c>
      <c r="Q314" t="n">
        <v>0</v>
      </c>
      <c r="R314" t="n">
        <v>0</v>
      </c>
      <c r="S314" t="n">
        <v>0</v>
      </c>
      <c r="T314" t="n">
        <v>0</v>
      </c>
      <c r="U314" s="2" t="inlineStr"/>
    </row>
    <row r="315" ht="15" customHeight="1">
      <c r="A315" t="inlineStr">
        <is>
          <t>A 34225-2023</t>
        </is>
      </c>
      <c r="B315" t="inlineStr">
        <is>
          <t>avverkningsanmälan</t>
        </is>
      </c>
      <c r="C315" t="inlineStr">
        <is>
          <t>Föryngringsavverkning</t>
        </is>
      </c>
      <c r="D315" s="1" t="n">
        <v>45126</v>
      </c>
      <c r="E315" s="1" t="n">
        <v>46222</v>
      </c>
      <c r="F315" t="inlineStr">
        <is>
          <t>ÖREBRO LÄN</t>
        </is>
      </c>
      <c r="G315" t="inlineStr">
        <is>
          <t>LAXÅ</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25602-2023</t>
        </is>
      </c>
      <c r="B316" t="inlineStr">
        <is>
          <t>avverkningsanmälan</t>
        </is>
      </c>
      <c r="C316" t="inlineStr">
        <is>
          <t>Föryngringsavverkning</t>
        </is>
      </c>
      <c r="D316" s="1" t="n">
        <v>45089</v>
      </c>
      <c r="E316" s="1" t="n">
        <v>46222</v>
      </c>
      <c r="F316" t="inlineStr">
        <is>
          <t>ÖREBRO LÄN</t>
        </is>
      </c>
      <c r="G316" t="inlineStr">
        <is>
          <t>LAXÅ</t>
        </is>
      </c>
      <c r="H316" t="inlineStr">
        <is>
          <t>Övriga statliga verk och myndigheter</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38613-2023</t>
        </is>
      </c>
      <c r="B317" t="inlineStr">
        <is>
          <t>avverkningsanmälan</t>
        </is>
      </c>
      <c r="C317" t="inlineStr">
        <is>
          <t>Föryngringsavverkning</t>
        </is>
      </c>
      <c r="D317" s="1" t="n">
        <v>45160</v>
      </c>
      <c r="E317" s="1" t="n">
        <v>46222</v>
      </c>
      <c r="F317" t="inlineStr">
        <is>
          <t>ÖREBRO LÄN</t>
        </is>
      </c>
      <c r="G317" t="inlineStr">
        <is>
          <t>LAXÅ</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57497-2023</t>
        </is>
      </c>
      <c r="B318" t="inlineStr">
        <is>
          <t>avverkningsanmälan</t>
        </is>
      </c>
      <c r="C318" t="inlineStr">
        <is>
          <t>Föryngringsavverkning</t>
        </is>
      </c>
      <c r="D318" s="1" t="n">
        <v>45240</v>
      </c>
      <c r="E318" s="1" t="n">
        <v>46222</v>
      </c>
      <c r="F318" t="inlineStr">
        <is>
          <t>ÖREBRO LÄN</t>
        </is>
      </c>
      <c r="G318" t="inlineStr">
        <is>
          <t>LAXÅ</t>
        </is>
      </c>
      <c r="I318" t="n">
        <v>8.1</v>
      </c>
      <c r="J318" t="n">
        <v>0</v>
      </c>
      <c r="K318" t="n">
        <v>0</v>
      </c>
      <c r="L318" t="n">
        <v>0</v>
      </c>
      <c r="M318" t="n">
        <v>0</v>
      </c>
      <c r="N318" t="n">
        <v>0</v>
      </c>
      <c r="O318" t="n">
        <v>0</v>
      </c>
      <c r="P318" t="n">
        <v>0</v>
      </c>
      <c r="Q318" t="n">
        <v>0</v>
      </c>
      <c r="R318" t="n">
        <v>0</v>
      </c>
      <c r="S318" t="n">
        <v>0</v>
      </c>
      <c r="T318" t="n">
        <v>0</v>
      </c>
      <c r="U318" s="2" t="inlineStr"/>
    </row>
    <row r="319" ht="15" customHeight="1">
      <c r="A319" t="inlineStr">
        <is>
          <t>A 57503-2023</t>
        </is>
      </c>
      <c r="B319" t="inlineStr">
        <is>
          <t>avverkningsanmälan</t>
        </is>
      </c>
      <c r="C319" t="inlineStr">
        <is>
          <t>Föryngringsavverkning</t>
        </is>
      </c>
      <c r="D319" s="1" t="n">
        <v>45240</v>
      </c>
      <c r="E319" s="1" t="n">
        <v>46222</v>
      </c>
      <c r="F319" t="inlineStr">
        <is>
          <t>ÖREBRO LÄN</t>
        </is>
      </c>
      <c r="G319" t="inlineStr">
        <is>
          <t>LAXÅ</t>
        </is>
      </c>
      <c r="I319" t="n">
        <v>11.5</v>
      </c>
      <c r="J319" t="n">
        <v>0</v>
      </c>
      <c r="K319" t="n">
        <v>0</v>
      </c>
      <c r="L319" t="n">
        <v>0</v>
      </c>
      <c r="M319" t="n">
        <v>0</v>
      </c>
      <c r="N319" t="n">
        <v>0</v>
      </c>
      <c r="O319" t="n">
        <v>0</v>
      </c>
      <c r="P319" t="n">
        <v>0</v>
      </c>
      <c r="Q319" t="n">
        <v>0</v>
      </c>
      <c r="R319" t="n">
        <v>0</v>
      </c>
      <c r="S319" t="n">
        <v>0</v>
      </c>
      <c r="T319" t="n">
        <v>0</v>
      </c>
      <c r="U319" s="2" t="inlineStr"/>
    </row>
    <row r="320" ht="15" customHeight="1">
      <c r="A320" t="inlineStr">
        <is>
          <t>A 54511-2023</t>
        </is>
      </c>
      <c r="B320" t="inlineStr">
        <is>
          <t>avverkningsanmälan</t>
        </is>
      </c>
      <c r="C320" t="inlineStr">
        <is>
          <t>Föryngringsavverkning</t>
        </is>
      </c>
      <c r="D320" s="1" t="n">
        <v>45233</v>
      </c>
      <c r="E320" s="1" t="n">
        <v>46222</v>
      </c>
      <c r="F320" t="inlineStr">
        <is>
          <t>ÖREBRO LÄN</t>
        </is>
      </c>
      <c r="G320" t="inlineStr">
        <is>
          <t>LAXÅ</t>
        </is>
      </c>
      <c r="H320" t="inlineStr">
        <is>
          <t>Övriga statliga verk och myndigheter</t>
        </is>
      </c>
      <c r="I320" t="n">
        <v>2.9</v>
      </c>
      <c r="J320" t="n">
        <v>0</v>
      </c>
      <c r="K320" t="n">
        <v>0</v>
      </c>
      <c r="L320" t="n">
        <v>0</v>
      </c>
      <c r="M320" t="n">
        <v>0</v>
      </c>
      <c r="N320" t="n">
        <v>0</v>
      </c>
      <c r="O320" t="n">
        <v>0</v>
      </c>
      <c r="P320" t="n">
        <v>0</v>
      </c>
      <c r="Q320" t="n">
        <v>0</v>
      </c>
      <c r="R320" t="n">
        <v>0</v>
      </c>
      <c r="S320" t="n">
        <v>0</v>
      </c>
      <c r="T320" t="n">
        <v>0</v>
      </c>
      <c r="U320" s="2" t="inlineStr"/>
    </row>
    <row r="321" ht="15" customHeight="1">
      <c r="A321" t="inlineStr">
        <is>
          <t>A 30813-2026</t>
        </is>
      </c>
      <c r="B321" t="inlineStr">
        <is>
          <t>avverkningsanmälan</t>
        </is>
      </c>
      <c r="C321" t="inlineStr">
        <is>
          <t>Föryngringsavverkning</t>
        </is>
      </c>
      <c r="D321" s="1" t="n">
        <v>46212</v>
      </c>
      <c r="E321" s="1" t="n">
        <v>46222</v>
      </c>
      <c r="F321" t="inlineStr">
        <is>
          <t>ÖREBRO LÄN</t>
        </is>
      </c>
      <c r="G321" t="inlineStr">
        <is>
          <t>LAXÅ</t>
        </is>
      </c>
      <c r="H321" t="inlineStr">
        <is>
          <t>Sveaskog</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8530-2025</t>
        </is>
      </c>
      <c r="B322" t="inlineStr">
        <is>
          <t>avverkningsanmälan</t>
        </is>
      </c>
      <c r="C322" t="inlineStr">
        <is>
          <t>Föryngringsavverkning</t>
        </is>
      </c>
      <c r="D322" s="1" t="n">
        <v>45709</v>
      </c>
      <c r="E322" s="1" t="n">
        <v>46222</v>
      </c>
      <c r="F322" t="inlineStr">
        <is>
          <t>ÖREBRO LÄN</t>
        </is>
      </c>
      <c r="G322" t="inlineStr">
        <is>
          <t>LAXÅ</t>
        </is>
      </c>
      <c r="H322" t="inlineStr">
        <is>
          <t>Sveaskog</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33930-2023</t>
        </is>
      </c>
      <c r="B323" t="inlineStr">
        <is>
          <t>avverkningsanmälan</t>
        </is>
      </c>
      <c r="C323" t="inlineStr">
        <is>
          <t>Föryngringsavverkning</t>
        </is>
      </c>
      <c r="D323" s="1" t="n">
        <v>45134</v>
      </c>
      <c r="E323" s="1" t="n">
        <v>46222</v>
      </c>
      <c r="F323" t="inlineStr">
        <is>
          <t>ÖREBRO LÄN</t>
        </is>
      </c>
      <c r="G323" t="inlineStr">
        <is>
          <t>LAXÅ</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24741-2026</t>
        </is>
      </c>
      <c r="B324" t="inlineStr">
        <is>
          <t>avverkningsanmälan</t>
        </is>
      </c>
      <c r="C324" t="inlineStr">
        <is>
          <t>Föryngringsavverkning</t>
        </is>
      </c>
      <c r="D324" s="1" t="n">
        <v>46171</v>
      </c>
      <c r="E324" s="1" t="n">
        <v>46222</v>
      </c>
      <c r="F324" t="inlineStr">
        <is>
          <t>ÖREBRO LÄN</t>
        </is>
      </c>
      <c r="G324" t="inlineStr">
        <is>
          <t>LAXÅ</t>
        </is>
      </c>
      <c r="H324" t="inlineStr">
        <is>
          <t>Sveaskog</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31189-2024</t>
        </is>
      </c>
      <c r="B325" t="inlineStr">
        <is>
          <t>avverkningsanmälan</t>
        </is>
      </c>
      <c r="C325" t="inlineStr">
        <is>
          <t>Föryngringsavverkning</t>
        </is>
      </c>
      <c r="D325" s="1" t="n">
        <v>45503</v>
      </c>
      <c r="E325" s="1" t="n">
        <v>46222</v>
      </c>
      <c r="F325" t="inlineStr">
        <is>
          <t>ÖREBRO LÄN</t>
        </is>
      </c>
      <c r="G325" t="inlineStr">
        <is>
          <t>LAXÅ</t>
        </is>
      </c>
      <c r="I325" t="n">
        <v>4.8</v>
      </c>
      <c r="J325" t="n">
        <v>0</v>
      </c>
      <c r="K325" t="n">
        <v>0</v>
      </c>
      <c r="L325" t="n">
        <v>0</v>
      </c>
      <c r="M325" t="n">
        <v>0</v>
      </c>
      <c r="N325" t="n">
        <v>0</v>
      </c>
      <c r="O325" t="n">
        <v>0</v>
      </c>
      <c r="P325" t="n">
        <v>0</v>
      </c>
      <c r="Q325" t="n">
        <v>0</v>
      </c>
      <c r="R325" t="n">
        <v>0</v>
      </c>
      <c r="S325" t="n">
        <v>0</v>
      </c>
      <c r="T325" t="n">
        <v>0</v>
      </c>
      <c r="U325" s="2" t="inlineStr"/>
    </row>
    <row r="326" ht="15" customHeight="1">
      <c r="A326" t="inlineStr">
        <is>
          <t>A 31190-2024</t>
        </is>
      </c>
      <c r="B326" t="inlineStr">
        <is>
          <t>avverkningsanmälan</t>
        </is>
      </c>
      <c r="C326" t="inlineStr">
        <is>
          <t>Föryngringsavverkning</t>
        </is>
      </c>
      <c r="D326" s="1" t="n">
        <v>45503</v>
      </c>
      <c r="E326" s="1" t="n">
        <v>46222</v>
      </c>
      <c r="F326" t="inlineStr">
        <is>
          <t>ÖREBRO LÄN</t>
        </is>
      </c>
      <c r="G326" t="inlineStr">
        <is>
          <t>LAXÅ</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21548-2024</t>
        </is>
      </c>
      <c r="B327" t="inlineStr">
        <is>
          <t>avverkningsanmälan</t>
        </is>
      </c>
      <c r="C327" t="inlineStr">
        <is>
          <t>Föryngringsavverkning</t>
        </is>
      </c>
      <c r="D327" s="1" t="n">
        <v>45441</v>
      </c>
      <c r="E327" s="1" t="n">
        <v>46222</v>
      </c>
      <c r="F327" t="inlineStr">
        <is>
          <t>ÖREBRO LÄN</t>
        </is>
      </c>
      <c r="G327" t="inlineStr">
        <is>
          <t>LAXÅ</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34567-2024</t>
        </is>
      </c>
      <c r="B328" t="inlineStr">
        <is>
          <t>avverkningsanmälan</t>
        </is>
      </c>
      <c r="C328" t="inlineStr">
        <is>
          <t>Föryngringsavverkning</t>
        </is>
      </c>
      <c r="D328" s="1" t="n">
        <v>45525</v>
      </c>
      <c r="E328" s="1" t="n">
        <v>46222</v>
      </c>
      <c r="F328" t="inlineStr">
        <is>
          <t>ÖREBRO LÄN</t>
        </is>
      </c>
      <c r="G328" t="inlineStr">
        <is>
          <t>LAXÅ</t>
        </is>
      </c>
      <c r="I328" t="n">
        <v>3.3</v>
      </c>
      <c r="J328" t="n">
        <v>0</v>
      </c>
      <c r="K328" t="n">
        <v>0</v>
      </c>
      <c r="L328" t="n">
        <v>0</v>
      </c>
      <c r="M328" t="n">
        <v>0</v>
      </c>
      <c r="N328" t="n">
        <v>0</v>
      </c>
      <c r="O328" t="n">
        <v>0</v>
      </c>
      <c r="P328" t="n">
        <v>0</v>
      </c>
      <c r="Q328" t="n">
        <v>0</v>
      </c>
      <c r="R328" t="n">
        <v>0</v>
      </c>
      <c r="S328" t="n">
        <v>0</v>
      </c>
      <c r="T328" t="n">
        <v>0</v>
      </c>
      <c r="U328" s="2" t="inlineStr"/>
    </row>
    <row r="329" ht="15" customHeight="1">
      <c r="A329" t="inlineStr">
        <is>
          <t>A 48782-2024</t>
        </is>
      </c>
      <c r="B329" t="inlineStr">
        <is>
          <t>avverkningsanmälan</t>
        </is>
      </c>
      <c r="C329" t="inlineStr">
        <is>
          <t>Föryngringsavverkning</t>
        </is>
      </c>
      <c r="D329" s="1" t="n">
        <v>45593</v>
      </c>
      <c r="E329" s="1" t="n">
        <v>46222</v>
      </c>
      <c r="F329" t="inlineStr">
        <is>
          <t>ÖREBRO LÄN</t>
        </is>
      </c>
      <c r="G329" t="inlineStr">
        <is>
          <t>LAXÅ</t>
        </is>
      </c>
      <c r="H329" t="inlineStr">
        <is>
          <t>Sveaskog</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10496-2024</t>
        </is>
      </c>
      <c r="B330" t="inlineStr">
        <is>
          <t>avverkningsanmälan</t>
        </is>
      </c>
      <c r="C330" t="inlineStr">
        <is>
          <t>Föryngringsavverkning</t>
        </is>
      </c>
      <c r="D330" s="1" t="n">
        <v>45366</v>
      </c>
      <c r="E330" s="1" t="n">
        <v>46222</v>
      </c>
      <c r="F330" t="inlineStr">
        <is>
          <t>ÖREBRO LÄN</t>
        </is>
      </c>
      <c r="G330" t="inlineStr">
        <is>
          <t>LAXÅ</t>
        </is>
      </c>
      <c r="H330" t="inlineStr">
        <is>
          <t>Sveaskog</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13104-2025</t>
        </is>
      </c>
      <c r="B331" t="inlineStr">
        <is>
          <t>avverkningsanmälan</t>
        </is>
      </c>
      <c r="C331" t="inlineStr">
        <is>
          <t>Föryngringsavverkning</t>
        </is>
      </c>
      <c r="D331" s="1" t="n">
        <v>45734</v>
      </c>
      <c r="E331" s="1" t="n">
        <v>46222</v>
      </c>
      <c r="F331" t="inlineStr">
        <is>
          <t>ÖREBRO LÄN</t>
        </is>
      </c>
      <c r="G331" t="inlineStr">
        <is>
          <t>LAXÅ</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60392-2023</t>
        </is>
      </c>
      <c r="B332" t="inlineStr">
        <is>
          <t>avverkningsanmälan</t>
        </is>
      </c>
      <c r="C332" t="inlineStr">
        <is>
          <t>Föryngringsavverkning</t>
        </is>
      </c>
      <c r="D332" s="1" t="n">
        <v>45259</v>
      </c>
      <c r="E332" s="1" t="n">
        <v>46222</v>
      </c>
      <c r="F332" t="inlineStr">
        <is>
          <t>ÖREBRO LÄN</t>
        </is>
      </c>
      <c r="G332" t="inlineStr">
        <is>
          <t>LAXÅ</t>
        </is>
      </c>
      <c r="H332" t="inlineStr">
        <is>
          <t>Sveaskog</t>
        </is>
      </c>
      <c r="I332" t="n">
        <v>4.9</v>
      </c>
      <c r="J332" t="n">
        <v>0</v>
      </c>
      <c r="K332" t="n">
        <v>0</v>
      </c>
      <c r="L332" t="n">
        <v>0</v>
      </c>
      <c r="M332" t="n">
        <v>0</v>
      </c>
      <c r="N332" t="n">
        <v>0</v>
      </c>
      <c r="O332" t="n">
        <v>0</v>
      </c>
      <c r="P332" t="n">
        <v>0</v>
      </c>
      <c r="Q332" t="n">
        <v>0</v>
      </c>
      <c r="R332" t="n">
        <v>0</v>
      </c>
      <c r="S332" t="n">
        <v>0</v>
      </c>
      <c r="T332" t="n">
        <v>0</v>
      </c>
      <c r="U332" s="2" t="inlineStr"/>
    </row>
    <row r="333" ht="15" customHeight="1">
      <c r="A333" t="inlineStr">
        <is>
          <t>A 12651-2024</t>
        </is>
      </c>
      <c r="B333" t="inlineStr">
        <is>
          <t>avverkningsanmälan</t>
        </is>
      </c>
      <c r="C333" t="inlineStr">
        <is>
          <t>Föryngringsavverkning</t>
        </is>
      </c>
      <c r="D333" s="1" t="n">
        <v>45384</v>
      </c>
      <c r="E333" s="1" t="n">
        <v>46222</v>
      </c>
      <c r="F333" t="inlineStr">
        <is>
          <t>ÖREBRO LÄN</t>
        </is>
      </c>
      <c r="G333" t="inlineStr">
        <is>
          <t>LAXÅ</t>
        </is>
      </c>
      <c r="H333" t="inlineStr">
        <is>
          <t>Sveaskog</t>
        </is>
      </c>
      <c r="I333" t="n">
        <v>0.8</v>
      </c>
      <c r="J333" t="n">
        <v>0</v>
      </c>
      <c r="K333" t="n">
        <v>0</v>
      </c>
      <c r="L333" t="n">
        <v>0</v>
      </c>
      <c r="M333" t="n">
        <v>0</v>
      </c>
      <c r="N333" t="n">
        <v>0</v>
      </c>
      <c r="O333" t="n">
        <v>0</v>
      </c>
      <c r="P333" t="n">
        <v>0</v>
      </c>
      <c r="Q333" t="n">
        <v>0</v>
      </c>
      <c r="R333" t="n">
        <v>0</v>
      </c>
      <c r="S333" t="n">
        <v>0</v>
      </c>
      <c r="T333" t="n">
        <v>0</v>
      </c>
      <c r="U333" s="2" t="inlineStr"/>
    </row>
    <row r="334" ht="15" customHeight="1">
      <c r="A334" t="inlineStr">
        <is>
          <t>A 6452-2024</t>
        </is>
      </c>
      <c r="B334" t="inlineStr">
        <is>
          <t>avverkningsanmälan</t>
        </is>
      </c>
      <c r="C334" t="inlineStr">
        <is>
          <t>Föryngringsavverkning</t>
        </is>
      </c>
      <c r="D334" s="1" t="n">
        <v>45338</v>
      </c>
      <c r="E334" s="1" t="n">
        <v>46222</v>
      </c>
      <c r="F334" t="inlineStr">
        <is>
          <t>ÖREBRO LÄN</t>
        </is>
      </c>
      <c r="G334" t="inlineStr">
        <is>
          <t>LAXÅ</t>
        </is>
      </c>
      <c r="I334" t="n">
        <v>0.3</v>
      </c>
      <c r="J334" t="n">
        <v>0</v>
      </c>
      <c r="K334" t="n">
        <v>0</v>
      </c>
      <c r="L334" t="n">
        <v>0</v>
      </c>
      <c r="M334" t="n">
        <v>0</v>
      </c>
      <c r="N334" t="n">
        <v>0</v>
      </c>
      <c r="O334" t="n">
        <v>0</v>
      </c>
      <c r="P334" t="n">
        <v>0</v>
      </c>
      <c r="Q334" t="n">
        <v>0</v>
      </c>
      <c r="R334" t="n">
        <v>0</v>
      </c>
      <c r="S334" t="n">
        <v>0</v>
      </c>
      <c r="T334" t="n">
        <v>0</v>
      </c>
      <c r="U334" s="2" t="inlineStr"/>
    </row>
    <row r="335" ht="15" customHeight="1">
      <c r="A335" t="inlineStr">
        <is>
          <t>A 26412-2023</t>
        </is>
      </c>
      <c r="B335" t="inlineStr">
        <is>
          <t>avverkningsanmälan</t>
        </is>
      </c>
      <c r="C335" t="inlineStr">
        <is>
          <t>Föryngringsavverkning</t>
        </is>
      </c>
      <c r="D335" s="1" t="n">
        <v>45092</v>
      </c>
      <c r="E335" s="1" t="n">
        <v>46222</v>
      </c>
      <c r="F335" t="inlineStr">
        <is>
          <t>ÖREBRO LÄN</t>
        </is>
      </c>
      <c r="G335" t="inlineStr">
        <is>
          <t>LAXÅ</t>
        </is>
      </c>
      <c r="H335" t="inlineStr">
        <is>
          <t>Sveaskog</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41601-2023</t>
        </is>
      </c>
      <c r="B336" t="inlineStr">
        <is>
          <t>avverkningsanmälan</t>
        </is>
      </c>
      <c r="C336" t="inlineStr">
        <is>
          <t>Föryngringsavverkning</t>
        </is>
      </c>
      <c r="D336" s="1" t="n">
        <v>45175</v>
      </c>
      <c r="E336" s="1" t="n">
        <v>46222</v>
      </c>
      <c r="F336" t="inlineStr">
        <is>
          <t>ÖREBRO LÄN</t>
        </is>
      </c>
      <c r="G336" t="inlineStr">
        <is>
          <t>LAXÅ</t>
        </is>
      </c>
      <c r="I336" t="n">
        <v>2.4</v>
      </c>
      <c r="J336" t="n">
        <v>0</v>
      </c>
      <c r="K336" t="n">
        <v>0</v>
      </c>
      <c r="L336" t="n">
        <v>0</v>
      </c>
      <c r="M336" t="n">
        <v>0</v>
      </c>
      <c r="N336" t="n">
        <v>0</v>
      </c>
      <c r="O336" t="n">
        <v>0</v>
      </c>
      <c r="P336" t="n">
        <v>0</v>
      </c>
      <c r="Q336" t="n">
        <v>0</v>
      </c>
      <c r="R336" t="n">
        <v>0</v>
      </c>
      <c r="S336" t="n">
        <v>0</v>
      </c>
      <c r="T336" t="n">
        <v>0</v>
      </c>
      <c r="U336" s="2" t="inlineStr"/>
    </row>
    <row r="337" ht="15" customHeight="1">
      <c r="A337" t="inlineStr">
        <is>
          <t>A 50402-2023</t>
        </is>
      </c>
      <c r="B337" t="inlineStr">
        <is>
          <t>avverkningsanmälan</t>
        </is>
      </c>
      <c r="C337" t="inlineStr">
        <is>
          <t>Föryngringsavverkning</t>
        </is>
      </c>
      <c r="D337" s="1" t="n">
        <v>45216</v>
      </c>
      <c r="E337" s="1" t="n">
        <v>46222</v>
      </c>
      <c r="F337" t="inlineStr">
        <is>
          <t>ÖREBRO LÄN</t>
        </is>
      </c>
      <c r="G337" t="inlineStr">
        <is>
          <t>LAXÅ</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21474-2025</t>
        </is>
      </c>
      <c r="B338" t="inlineStr">
        <is>
          <t>avverkningsanmälan</t>
        </is>
      </c>
      <c r="C338" t="inlineStr">
        <is>
          <t>Avverkning för att bevara och utveckla /försöksver</t>
        </is>
      </c>
      <c r="D338" s="1" t="n">
        <v>45782</v>
      </c>
      <c r="E338" s="1" t="n">
        <v>46222</v>
      </c>
      <c r="F338" t="inlineStr">
        <is>
          <t>ÖREBRO LÄN</t>
        </is>
      </c>
      <c r="G338" t="inlineStr">
        <is>
          <t>LAXÅ</t>
        </is>
      </c>
      <c r="H338" t="inlineStr">
        <is>
          <t>Sveaskog</t>
        </is>
      </c>
      <c r="I338" t="n">
        <v>4.4</v>
      </c>
      <c r="J338" t="n">
        <v>0</v>
      </c>
      <c r="K338" t="n">
        <v>0</v>
      </c>
      <c r="L338" t="n">
        <v>0</v>
      </c>
      <c r="M338" t="n">
        <v>0</v>
      </c>
      <c r="N338" t="n">
        <v>0</v>
      </c>
      <c r="O338" t="n">
        <v>0</v>
      </c>
      <c r="P338" t="n">
        <v>0</v>
      </c>
      <c r="Q338" t="n">
        <v>0</v>
      </c>
      <c r="R338" t="n">
        <v>0</v>
      </c>
      <c r="S338" t="n">
        <v>0</v>
      </c>
      <c r="T338" t="n">
        <v>0</v>
      </c>
      <c r="U338" s="2" t="inlineStr"/>
    </row>
    <row r="339" ht="15" customHeight="1">
      <c r="A339" t="inlineStr">
        <is>
          <t>A 21212-2023</t>
        </is>
      </c>
      <c r="B339" t="inlineStr">
        <is>
          <t>avverkningsanmälan</t>
        </is>
      </c>
      <c r="C339" t="inlineStr">
        <is>
          <t>Föryngringsavverkning</t>
        </is>
      </c>
      <c r="D339" s="1" t="n">
        <v>45062</v>
      </c>
      <c r="E339" s="1" t="n">
        <v>46222</v>
      </c>
      <c r="F339" t="inlineStr">
        <is>
          <t>ÖREBRO LÄN</t>
        </is>
      </c>
      <c r="G339" t="inlineStr">
        <is>
          <t>LAXÅ</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6299-2024</t>
        </is>
      </c>
      <c r="B340" t="inlineStr">
        <is>
          <t>avverkningsanmälan</t>
        </is>
      </c>
      <c r="C340" t="inlineStr">
        <is>
          <t>Föryngringsavverkning</t>
        </is>
      </c>
      <c r="D340" s="1" t="n">
        <v>45338</v>
      </c>
      <c r="E340" s="1" t="n">
        <v>46222</v>
      </c>
      <c r="F340" t="inlineStr">
        <is>
          <t>ÖREBRO LÄN</t>
        </is>
      </c>
      <c r="G340" t="inlineStr">
        <is>
          <t>LAXÅ</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23234-2025</t>
        </is>
      </c>
      <c r="B341" t="inlineStr">
        <is>
          <t>avverkningsanmälan</t>
        </is>
      </c>
      <c r="C341" t="inlineStr">
        <is>
          <t>Föryngringsavverkning</t>
        </is>
      </c>
      <c r="D341" s="1" t="n">
        <v>45791</v>
      </c>
      <c r="E341" s="1" t="n">
        <v>46222</v>
      </c>
      <c r="F341" t="inlineStr">
        <is>
          <t>ÖREBRO LÄN</t>
        </is>
      </c>
      <c r="G341" t="inlineStr">
        <is>
          <t>LAXÅ</t>
        </is>
      </c>
      <c r="H341" t="inlineStr">
        <is>
          <t>Sveaskog</t>
        </is>
      </c>
      <c r="I341" t="n">
        <v>9.300000000000001</v>
      </c>
      <c r="J341" t="n">
        <v>0</v>
      </c>
      <c r="K341" t="n">
        <v>0</v>
      </c>
      <c r="L341" t="n">
        <v>0</v>
      </c>
      <c r="M341" t="n">
        <v>0</v>
      </c>
      <c r="N341" t="n">
        <v>0</v>
      </c>
      <c r="O341" t="n">
        <v>0</v>
      </c>
      <c r="P341" t="n">
        <v>0</v>
      </c>
      <c r="Q341" t="n">
        <v>0</v>
      </c>
      <c r="R341" t="n">
        <v>0</v>
      </c>
      <c r="S341" t="n">
        <v>0</v>
      </c>
      <c r="T341" t="n">
        <v>0</v>
      </c>
      <c r="U341" s="2" t="inlineStr"/>
    </row>
    <row r="342" ht="15" customHeight="1">
      <c r="A342" t="inlineStr">
        <is>
          <t>A 18845-2023</t>
        </is>
      </c>
      <c r="B342" t="inlineStr">
        <is>
          <t>avverkningsanmälan</t>
        </is>
      </c>
      <c r="C342" t="inlineStr">
        <is>
          <t>Föryngringsavverkning</t>
        </is>
      </c>
      <c r="D342" s="1" t="n">
        <v>45042</v>
      </c>
      <c r="E342" s="1" t="n">
        <v>46222</v>
      </c>
      <c r="F342" t="inlineStr">
        <is>
          <t>ÖREBRO LÄN</t>
        </is>
      </c>
      <c r="G342" t="inlineStr">
        <is>
          <t>LAXÅ</t>
        </is>
      </c>
      <c r="I342" t="n">
        <v>3.2</v>
      </c>
      <c r="J342" t="n">
        <v>0</v>
      </c>
      <c r="K342" t="n">
        <v>0</v>
      </c>
      <c r="L342" t="n">
        <v>0</v>
      </c>
      <c r="M342" t="n">
        <v>0</v>
      </c>
      <c r="N342" t="n">
        <v>0</v>
      </c>
      <c r="O342" t="n">
        <v>0</v>
      </c>
      <c r="P342" t="n">
        <v>0</v>
      </c>
      <c r="Q342" t="n">
        <v>0</v>
      </c>
      <c r="R342" t="n">
        <v>0</v>
      </c>
      <c r="S342" t="n">
        <v>0</v>
      </c>
      <c r="T342" t="n">
        <v>0</v>
      </c>
      <c r="U342" s="2" t="inlineStr"/>
    </row>
    <row r="343" ht="15" customHeight="1">
      <c r="A343" t="inlineStr">
        <is>
          <t>S 705-2024</t>
        </is>
      </c>
      <c r="B343" t="inlineStr">
        <is>
          <t>samrådsanmälan</t>
        </is>
      </c>
      <c r="C343" t="inlineStr">
        <is>
          <t>Annan skogsbruksåtgärd</t>
        </is>
      </c>
      <c r="D343" s="1" t="n">
        <v>45362</v>
      </c>
      <c r="E343" s="1" t="n">
        <v>46222</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s="2" t="inlineStr"/>
    </row>
    <row r="344" ht="15" customHeight="1">
      <c r="A344" t="inlineStr">
        <is>
          <t>S 1135-2023</t>
        </is>
      </c>
      <c r="B344" t="inlineStr">
        <is>
          <t>samrådsanmälan</t>
        </is>
      </c>
      <c r="C344" t="inlineStr">
        <is>
          <t>Annan skogsbruksåtgärd</t>
        </is>
      </c>
      <c r="D344" s="1" t="n">
        <v>45016</v>
      </c>
      <c r="E344" s="1" t="n">
        <v>46222</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s="2" t="inlineStr"/>
    </row>
    <row r="345" ht="15" customHeight="1">
      <c r="A345" t="inlineStr">
        <is>
          <t>S 6724-2022</t>
        </is>
      </c>
      <c r="B345" t="inlineStr">
        <is>
          <t>samrådsanmälan</t>
        </is>
      </c>
      <c r="C345" t="inlineStr">
        <is>
          <t>Annan skogsbruksåtgärd</t>
        </is>
      </c>
      <c r="D345" s="1" t="n">
        <v>44889</v>
      </c>
      <c r="E345" s="1" t="n">
        <v>46222</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s="2" t="inlineStr"/>
    </row>
    <row r="346" ht="15" customHeight="1">
      <c r="A346" t="inlineStr">
        <is>
          <t>S 998-2023</t>
        </is>
      </c>
      <c r="B346" t="inlineStr">
        <is>
          <t>samrådsanmälan</t>
        </is>
      </c>
      <c r="C346" t="inlineStr">
        <is>
          <t>Annan skogsbruksåtgärd</t>
        </is>
      </c>
      <c r="D346" s="1" t="n">
        <v>45007</v>
      </c>
      <c r="E346" s="1" t="n">
        <v>46222</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S 6243-2021</t>
        </is>
      </c>
      <c r="B347" t="inlineStr">
        <is>
          <t>samrådsanmälan</t>
        </is>
      </c>
      <c r="C347" t="inlineStr">
        <is>
          <t>Åtgärd i nyckelbiotop</t>
        </is>
      </c>
      <c r="D347" s="1" t="n">
        <v>44447</v>
      </c>
      <c r="E347" s="1" t="n">
        <v>46222</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S 706-2024</t>
        </is>
      </c>
      <c r="B348" t="inlineStr">
        <is>
          <t>samrådsanmälan</t>
        </is>
      </c>
      <c r="C348" t="inlineStr">
        <is>
          <t>Annan skogsbruksåtgärd</t>
        </is>
      </c>
      <c r="D348" s="1" t="n">
        <v>45362</v>
      </c>
      <c r="E348" s="1" t="n">
        <v>46222</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s="2" t="inlineStr"/>
    </row>
    <row r="349" ht="15" customHeight="1">
      <c r="A349" t="inlineStr">
        <is>
          <t>S 2452-2023</t>
        </is>
      </c>
      <c r="B349" t="inlineStr">
        <is>
          <t>samrådsanmälan</t>
        </is>
      </c>
      <c r="C349" t="inlineStr">
        <is>
          <t>Annan skogsbruksåtgärd</t>
        </is>
      </c>
      <c r="D349" s="1" t="n">
        <v>45117</v>
      </c>
      <c r="E349" s="1" t="n">
        <v>46222</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s="2" t="inlineStr"/>
    </row>
    <row r="350" ht="15" customHeight="1">
      <c r="A350" t="inlineStr">
        <is>
          <t>S 7015-2022</t>
        </is>
      </c>
      <c r="B350" t="inlineStr">
        <is>
          <t>samrådsanmälan</t>
        </is>
      </c>
      <c r="C350" t="inlineStr">
        <is>
          <t>Annan skogsbruksåtgärd</t>
        </is>
      </c>
      <c r="D350" s="1" t="n">
        <v>44903</v>
      </c>
      <c r="E350" s="1" t="n">
        <v>46222</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s="2" t="inlineStr"/>
    </row>
    <row r="351" ht="15" customHeight="1">
      <c r="A351" t="inlineStr">
        <is>
          <t>S 999-2023</t>
        </is>
      </c>
      <c r="B351" t="inlineStr">
        <is>
          <t>samrådsanmälan</t>
        </is>
      </c>
      <c r="C351" t="inlineStr">
        <is>
          <t>Annan skogsbruksåtgärd</t>
        </is>
      </c>
      <c r="D351" s="1" t="n">
        <v>45007</v>
      </c>
      <c r="E351" s="1" t="n">
        <v>46222</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S 3318-2023</t>
        </is>
      </c>
      <c r="B352" t="inlineStr">
        <is>
          <t>samrådsanmälan</t>
        </is>
      </c>
      <c r="C352" t="inlineStr">
        <is>
          <t>Annan skogsbruksåtgärd</t>
        </is>
      </c>
      <c r="D352" s="1" t="n">
        <v>45195</v>
      </c>
      <c r="E352" s="1" t="n">
        <v>46222</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S 937-2025</t>
        </is>
      </c>
      <c r="B353" t="inlineStr">
        <is>
          <t>samrådsanmälan</t>
        </is>
      </c>
      <c r="C353" t="inlineStr">
        <is>
          <t>Annan skogsbruksåtgärd</t>
        </is>
      </c>
      <c r="D353" s="1" t="n">
        <v>45740</v>
      </c>
      <c r="E353" s="1" t="n">
        <v>46222</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S 984-2025</t>
        </is>
      </c>
      <c r="B354" t="inlineStr">
        <is>
          <t>samrådsanmälan</t>
        </is>
      </c>
      <c r="C354" t="inlineStr">
        <is>
          <t>Annan skogsbruksåtgärd</t>
        </is>
      </c>
      <c r="D354" s="1" t="n">
        <v>45744</v>
      </c>
      <c r="E354" s="1" t="n">
        <v>46222</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S 985-2025</t>
        </is>
      </c>
      <c r="B355" t="inlineStr">
        <is>
          <t>samrådsanmälan</t>
        </is>
      </c>
      <c r="C355" t="inlineStr">
        <is>
          <t>Annan skogsbruksåtgärd</t>
        </is>
      </c>
      <c r="D355" s="1" t="n">
        <v>45744</v>
      </c>
      <c r="E355" s="1" t="n">
        <v>46222</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S 1281-2025</t>
        </is>
      </c>
      <c r="B356" t="inlineStr">
        <is>
          <t>samrådsanmälan</t>
        </is>
      </c>
      <c r="C356" t="inlineStr">
        <is>
          <t>Annan skogsbruksåtgärd</t>
        </is>
      </c>
      <c r="D356" s="1" t="n">
        <v>45767</v>
      </c>
      <c r="E356" s="1" t="n">
        <v>46222</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s="2" t="inlineStr"/>
    </row>
    <row r="357" ht="15" customHeight="1">
      <c r="A357" t="inlineStr">
        <is>
          <t>S 1320-2025</t>
        </is>
      </c>
      <c r="B357" t="inlineStr">
        <is>
          <t>samrådsanmälan</t>
        </is>
      </c>
      <c r="C357" t="inlineStr">
        <is>
          <t>Annan skogsbruksåtgärd</t>
        </is>
      </c>
      <c r="D357" s="1" t="n">
        <v>45771</v>
      </c>
      <c r="E357" s="1" t="n">
        <v>46222</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S 1412-2025</t>
        </is>
      </c>
      <c r="B358" t="inlineStr">
        <is>
          <t>samrådsanmälan</t>
        </is>
      </c>
      <c r="C358" t="inlineStr">
        <is>
          <t>Annan skogsbruksåtgärd</t>
        </is>
      </c>
      <c r="D358" s="1" t="n">
        <v>45782</v>
      </c>
      <c r="E358" s="1" t="n">
        <v>46222</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s="2" t="inlineStr"/>
    </row>
    <row r="359" ht="15" customHeight="1">
      <c r="A359" t="inlineStr">
        <is>
          <t>S 1865-2025</t>
        </is>
      </c>
      <c r="B359" t="inlineStr">
        <is>
          <t>samrådsanmälan</t>
        </is>
      </c>
      <c r="C359" t="inlineStr">
        <is>
          <t>Annan skogsbruksåtgärd</t>
        </is>
      </c>
      <c r="D359" s="1" t="n">
        <v>45821</v>
      </c>
      <c r="E359" s="1" t="n">
        <v>46222</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s="2" t="inlineStr"/>
    </row>
    <row r="360">
      <c r="A360" t="inlineStr">
        <is>
          <t>S 3118-2025</t>
        </is>
      </c>
      <c r="B360" t="inlineStr">
        <is>
          <t>samrådsanmälan</t>
        </is>
      </c>
      <c r="C360" t="inlineStr">
        <is>
          <t>Annan skogsbruksåtgärd</t>
        </is>
      </c>
      <c r="D360" s="1" t="n">
        <v>45968</v>
      </c>
      <c r="E360" s="1" t="n">
        <v>46222</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2026-07-19T01:37:12Z</dcterms:created>
  <dcterms:modified xmlns:dcterms="http://purl.org/dc/terms/" xmlns:xsi="http://www.w3.org/2001/XMLSchema-instance" xsi:type="dcterms:W3CDTF">2026-07-19T01:37:13Z</dcterms:modified>
</cp:coreProperties>
</file>