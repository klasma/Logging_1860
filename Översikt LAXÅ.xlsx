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45799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45799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45799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45799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45799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45799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45799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45799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45799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45799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45799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45799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45799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45799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45799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45799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45799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45799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45799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45799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45799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45799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45799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45799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45799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45799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54809-2023</t>
        </is>
      </c>
      <c r="B28" s="1" t="n">
        <v>45236</v>
      </c>
      <c r="C28" s="1" t="n">
        <v>45799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54809-2023 artfynd.xlsx", "A 54809-2023")</f>
        <v/>
      </c>
      <c r="T28">
        <f>HYPERLINK("https://klasma.github.io/Logging_1860/kartor/A 54809-2023 karta.png", "A 54809-2023")</f>
        <v/>
      </c>
      <c r="V28">
        <f>HYPERLINK("https://klasma.github.io/Logging_1860/klagomål/A 54809-2023 FSC-klagomål.docx", "A 54809-2023")</f>
        <v/>
      </c>
      <c r="W28">
        <f>HYPERLINK("https://klasma.github.io/Logging_1860/klagomålsmail/A 54809-2023 FSC-klagomål mail.docx", "A 54809-2023")</f>
        <v/>
      </c>
      <c r="X28">
        <f>HYPERLINK("https://klasma.github.io/Logging_1860/tillsyn/A 54809-2023 tillsynsbegäran.docx", "A 54809-2023")</f>
        <v/>
      </c>
      <c r="Y28">
        <f>HYPERLINK("https://klasma.github.io/Logging_1860/tillsynsmail/A 54809-2023 tillsynsbegäran mail.docx", "A 54809-2023")</f>
        <v/>
      </c>
      <c r="Z28">
        <f>HYPERLINK("https://klasma.github.io/Logging_1860/fåglar/A 54809-2023 prioriterade fågelarter.docx", "A 54809-2023")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45799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25872-2024</t>
        </is>
      </c>
      <c r="B30" s="1" t="n">
        <v>45467</v>
      </c>
      <c r="C30" s="1" t="n">
        <v>45799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25872-2024 artfynd.xlsx", "A 25872-2024")</f>
        <v/>
      </c>
      <c r="T30">
        <f>HYPERLINK("https://klasma.github.io/Logging_1860/kartor/A 25872-2024 karta.png", "A 25872-2024")</f>
        <v/>
      </c>
      <c r="V30">
        <f>HYPERLINK("https://klasma.github.io/Logging_1860/klagomål/A 25872-2024 FSC-klagomål.docx", "A 25872-2024")</f>
        <v/>
      </c>
      <c r="W30">
        <f>HYPERLINK("https://klasma.github.io/Logging_1860/klagomålsmail/A 25872-2024 FSC-klagomål mail.docx", "A 25872-2024")</f>
        <v/>
      </c>
      <c r="X30">
        <f>HYPERLINK("https://klasma.github.io/Logging_1860/tillsyn/A 25872-2024 tillsynsbegäran.docx", "A 25872-2024")</f>
        <v/>
      </c>
      <c r="Y30">
        <f>HYPERLINK("https://klasma.github.io/Logging_1860/tillsynsmail/A 25872-2024 tillsynsbegäran mail.docx", "A 25872-2024")</f>
        <v/>
      </c>
      <c r="Z30">
        <f>HYPERLINK("https://klasma.github.io/Logging_1860/fåglar/A 25872-2024 prioriterade fågelarter.docx", "A 25872-2024")</f>
        <v/>
      </c>
    </row>
    <row r="31" ht="15" customHeight="1">
      <c r="A31" t="inlineStr">
        <is>
          <t>A 26784-2024</t>
        </is>
      </c>
      <c r="B31" s="1" t="n">
        <v>45470</v>
      </c>
      <c r="C31" s="1" t="n">
        <v>45799</v>
      </c>
      <c r="D31" t="inlineStr">
        <is>
          <t>ÖREBRO LÄN</t>
        </is>
      </c>
      <c r="E31" t="inlineStr">
        <is>
          <t>LAXÅ</t>
        </is>
      </c>
      <c r="F31" t="inlineStr">
        <is>
          <t>Kyrkan</t>
        </is>
      </c>
      <c r="G31" t="n">
        <v>6.5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Violgubbe</t>
        </is>
      </c>
      <c r="S31">
        <f>HYPERLINK("https://klasma.github.io/Logging_1860/artfynd/A 26784-2024 artfynd.xlsx", "A 26784-2024")</f>
        <v/>
      </c>
      <c r="T31">
        <f>HYPERLINK("https://klasma.github.io/Logging_1860/kartor/A 26784-2024 karta.png", "A 26784-2024")</f>
        <v/>
      </c>
      <c r="V31">
        <f>HYPERLINK("https://klasma.github.io/Logging_1860/klagomål/A 26784-2024 FSC-klagomål.docx", "A 26784-2024")</f>
        <v/>
      </c>
      <c r="W31">
        <f>HYPERLINK("https://klasma.github.io/Logging_1860/klagomålsmail/A 26784-2024 FSC-klagomål mail.docx", "A 26784-2024")</f>
        <v/>
      </c>
      <c r="X31">
        <f>HYPERLINK("https://klasma.github.io/Logging_1860/tillsyn/A 26784-2024 tillsynsbegäran.docx", "A 26784-2024")</f>
        <v/>
      </c>
      <c r="Y31">
        <f>HYPERLINK("https://klasma.github.io/Logging_1860/tillsynsmail/A 26784-2024 tillsynsbegäran mail.docx", "A 26784-2024")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45799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49878-2024</t>
        </is>
      </c>
      <c r="B33" s="1" t="n">
        <v>45597</v>
      </c>
      <c r="C33" s="1" t="n">
        <v>45799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HYPERLINK("https://klasma.github.io/Logging_1860/artfynd/A 49878-2024 artfynd.xlsx", "A 49878-2024")</f>
        <v/>
      </c>
      <c r="T33">
        <f>HYPERLINK("https://klasma.github.io/Logging_1860/kartor/A 49878-2024 karta.png", "A 49878-2024")</f>
        <v/>
      </c>
      <c r="V33">
        <f>HYPERLINK("https://klasma.github.io/Logging_1860/klagomål/A 49878-2024 FSC-klagomål.docx", "A 49878-2024")</f>
        <v/>
      </c>
      <c r="W33">
        <f>HYPERLINK("https://klasma.github.io/Logging_1860/klagomålsmail/A 49878-2024 FSC-klagomål mail.docx", "A 49878-2024")</f>
        <v/>
      </c>
      <c r="X33">
        <f>HYPERLINK("https://klasma.github.io/Logging_1860/tillsyn/A 49878-2024 tillsynsbegäran.docx", "A 49878-2024")</f>
        <v/>
      </c>
      <c r="Y33">
        <f>HYPERLINK("https://klasma.github.io/Logging_1860/tillsynsmail/A 49878-2024 tillsynsbegäran mail.docx", "A 49878-2024")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45799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8522-2025</t>
        </is>
      </c>
      <c r="B35" s="1" t="n">
        <v>45709</v>
      </c>
      <c r="C35" s="1" t="n">
        <v>45799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HYPERLINK("https://klasma.github.io/Logging_1860/artfynd/A 8522-2025 artfynd.xlsx", "A 8522-2025")</f>
        <v/>
      </c>
      <c r="T35">
        <f>HYPERLINK("https://klasma.github.io/Logging_1860/kartor/A 8522-2025 karta.png", "A 8522-2025")</f>
        <v/>
      </c>
      <c r="V35">
        <f>HYPERLINK("https://klasma.github.io/Logging_1860/klagomål/A 8522-2025 FSC-klagomål.docx", "A 8522-2025")</f>
        <v/>
      </c>
      <c r="W35">
        <f>HYPERLINK("https://klasma.github.io/Logging_1860/klagomålsmail/A 8522-2025 FSC-klagomål mail.docx", "A 8522-2025")</f>
        <v/>
      </c>
      <c r="X35">
        <f>HYPERLINK("https://klasma.github.io/Logging_1860/tillsyn/A 8522-2025 tillsynsbegäran.docx", "A 8522-2025")</f>
        <v/>
      </c>
      <c r="Y35">
        <f>HYPERLINK("https://klasma.github.io/Logging_1860/tillsynsmail/A 8522-2025 tillsynsbegäran mail.docx", "A 8522-2025")</f>
        <v/>
      </c>
    </row>
    <row r="36" ht="15" customHeight="1">
      <c r="A36" t="inlineStr">
        <is>
          <t>A 31708-2019</t>
        </is>
      </c>
      <c r="B36" s="1" t="n">
        <v>43642</v>
      </c>
      <c r="C36" s="1" t="n">
        <v>45799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38228-2019</t>
        </is>
      </c>
      <c r="B37" s="1" t="n">
        <v>43684</v>
      </c>
      <c r="C37" s="1" t="n">
        <v>45799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41245-2019</t>
        </is>
      </c>
      <c r="B38" s="1" t="n">
        <v>43696</v>
      </c>
      <c r="C38" s="1" t="n">
        <v>45799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43442-2019</t>
        </is>
      </c>
      <c r="B39" s="1" t="n">
        <v>43704</v>
      </c>
      <c r="C39" s="1" t="n">
        <v>45799</v>
      </c>
      <c r="D39" t="inlineStr">
        <is>
          <t>ÖREBRO LÄN</t>
        </is>
      </c>
      <c r="E39" t="inlineStr">
        <is>
          <t>LAXÅ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49461-2019</t>
        </is>
      </c>
      <c r="B40" s="1" t="n">
        <v>43732</v>
      </c>
      <c r="C40" s="1" t="n">
        <v>45799</v>
      </c>
      <c r="D40" t="inlineStr">
        <is>
          <t>ÖREBRO LÄN</t>
        </is>
      </c>
      <c r="E40" t="inlineStr">
        <is>
          <t>LAXÅ</t>
        </is>
      </c>
      <c r="F40" t="inlineStr">
        <is>
          <t>Övriga statliga verk och myndigheter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51367-2019</t>
        </is>
      </c>
      <c r="B41" s="1" t="n">
        <v>43740</v>
      </c>
      <c r="C41" s="1" t="n">
        <v>45799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51385-2019</t>
        </is>
      </c>
      <c r="B42" s="1" t="n">
        <v>43740</v>
      </c>
      <c r="C42" s="1" t="n">
        <v>45799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51564-2019</t>
        </is>
      </c>
      <c r="B43" s="1" t="n">
        <v>43740</v>
      </c>
      <c r="C43" s="1" t="n">
        <v>45799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51576-2019</t>
        </is>
      </c>
      <c r="B44" s="1" t="n">
        <v>43740</v>
      </c>
      <c r="C44" s="1" t="n">
        <v>45799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51567-2019</t>
        </is>
      </c>
      <c r="B45" s="1" t="n">
        <v>43740</v>
      </c>
      <c r="C45" s="1" t="n">
        <v>45799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51386-2019</t>
        </is>
      </c>
      <c r="B46" s="1" t="n">
        <v>43740</v>
      </c>
      <c r="C46" s="1" t="n">
        <v>45799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54517-2019</t>
        </is>
      </c>
      <c r="B47" s="1" t="n">
        <v>43754</v>
      </c>
      <c r="C47" s="1" t="n">
        <v>45799</v>
      </c>
      <c r="D47" t="inlineStr">
        <is>
          <t>ÖREBRO LÄN</t>
        </is>
      </c>
      <c r="E47" t="inlineStr">
        <is>
          <t>LAXÅ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54717-2019</t>
        </is>
      </c>
      <c r="B48" s="1" t="n">
        <v>43755</v>
      </c>
      <c r="C48" s="1" t="n">
        <v>45799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54909-2019</t>
        </is>
      </c>
      <c r="B49" s="1" t="n">
        <v>43755</v>
      </c>
      <c r="C49" s="1" t="n">
        <v>45799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55091-2019</t>
        </is>
      </c>
      <c r="B50" s="1" t="n">
        <v>43756</v>
      </c>
      <c r="C50" s="1" t="n">
        <v>45799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55228-2019</t>
        </is>
      </c>
      <c r="B51" s="1" t="n">
        <v>43756</v>
      </c>
      <c r="C51" s="1" t="n">
        <v>45799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55257-2019</t>
        </is>
      </c>
      <c r="B52" s="1" t="n">
        <v>43756</v>
      </c>
      <c r="C52" s="1" t="n">
        <v>45799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55246-2019</t>
        </is>
      </c>
      <c r="B53" s="1" t="n">
        <v>43756</v>
      </c>
      <c r="C53" s="1" t="n">
        <v>45799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55262-2019</t>
        </is>
      </c>
      <c r="B54" s="1" t="n">
        <v>43756</v>
      </c>
      <c r="C54" s="1" t="n">
        <v>45799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55203-2019</t>
        </is>
      </c>
      <c r="B55" s="1" t="n">
        <v>43756</v>
      </c>
      <c r="C55" s="1" t="n">
        <v>45799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55250-2019</t>
        </is>
      </c>
      <c r="B56" s="1" t="n">
        <v>43756</v>
      </c>
      <c r="C56" s="1" t="n">
        <v>45799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55256-2019</t>
        </is>
      </c>
      <c r="B57" s="1" t="n">
        <v>43756</v>
      </c>
      <c r="C57" s="1" t="n">
        <v>45799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55204-2019</t>
        </is>
      </c>
      <c r="B58" s="1" t="n">
        <v>43756</v>
      </c>
      <c r="C58" s="1" t="n">
        <v>45799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55259-2019</t>
        </is>
      </c>
      <c r="B59" s="1" t="n">
        <v>43756</v>
      </c>
      <c r="C59" s="1" t="n">
        <v>45799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55207-2019</t>
        </is>
      </c>
      <c r="B60" s="1" t="n">
        <v>43756</v>
      </c>
      <c r="C60" s="1" t="n">
        <v>45799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55800-2019</t>
        </is>
      </c>
      <c r="B61" s="1" t="n">
        <v>43759</v>
      </c>
      <c r="C61" s="1" t="n">
        <v>45799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57309-2019</t>
        </is>
      </c>
      <c r="B62" s="1" t="n">
        <v>43760</v>
      </c>
      <c r="C62" s="1" t="n">
        <v>45799</v>
      </c>
      <c r="D62" t="inlineStr">
        <is>
          <t>ÖREBRO LÄN</t>
        </is>
      </c>
      <c r="E62" t="inlineStr">
        <is>
          <t>LAXÅ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57166-2019</t>
        </is>
      </c>
      <c r="B63" s="1" t="n">
        <v>43766</v>
      </c>
      <c r="C63" s="1" t="n">
        <v>45799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58193-2019</t>
        </is>
      </c>
      <c r="B64" s="1" t="n">
        <v>43770</v>
      </c>
      <c r="C64" s="1" t="n">
        <v>45799</v>
      </c>
      <c r="D64" t="inlineStr">
        <is>
          <t>ÖREBRO LÄN</t>
        </is>
      </c>
      <c r="E64" t="inlineStr">
        <is>
          <t>LAXÅ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58197-2019</t>
        </is>
      </c>
      <c r="B65" s="1" t="n">
        <v>43770</v>
      </c>
      <c r="C65" s="1" t="n">
        <v>45799</v>
      </c>
      <c r="D65" t="inlineStr">
        <is>
          <t>ÖREBRO LÄN</t>
        </is>
      </c>
      <c r="E65" t="inlineStr">
        <is>
          <t>LAXÅ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59368-2019</t>
        </is>
      </c>
      <c r="B66" s="1" t="n">
        <v>43775</v>
      </c>
      <c r="C66" s="1" t="n">
        <v>45799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60921-2019</t>
        </is>
      </c>
      <c r="B67" s="1" t="n">
        <v>43782</v>
      </c>
      <c r="C67" s="1" t="n">
        <v>45799</v>
      </c>
      <c r="D67" t="inlineStr">
        <is>
          <t>ÖREBRO LÄN</t>
        </is>
      </c>
      <c r="E67" t="inlineStr">
        <is>
          <t>LAXÅ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63244-2019</t>
        </is>
      </c>
      <c r="B68" s="1" t="n">
        <v>43792</v>
      </c>
      <c r="C68" s="1" t="n">
        <v>45799</v>
      </c>
      <c r="D68" t="inlineStr">
        <is>
          <t>ÖREBRO LÄN</t>
        </is>
      </c>
      <c r="E68" t="inlineStr">
        <is>
          <t>LAXÅ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64354-2019</t>
        </is>
      </c>
      <c r="B69" s="1" t="n">
        <v>43797</v>
      </c>
      <c r="C69" s="1" t="n">
        <v>45799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66558-2019</t>
        </is>
      </c>
      <c r="B70" s="1" t="n">
        <v>43809</v>
      </c>
      <c r="C70" s="1" t="n">
        <v>45799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69074-2019</t>
        </is>
      </c>
      <c r="B71" s="1" t="n">
        <v>43827</v>
      </c>
      <c r="C71" s="1" t="n">
        <v>45799</v>
      </c>
      <c r="D71" t="inlineStr">
        <is>
          <t>ÖREBRO LÄN</t>
        </is>
      </c>
      <c r="E71" t="inlineStr">
        <is>
          <t>LAXÅ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465-2020</t>
        </is>
      </c>
      <c r="B72" s="1" t="n">
        <v>43837</v>
      </c>
      <c r="C72" s="1" t="n">
        <v>45799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2573-2020</t>
        </is>
      </c>
      <c r="B73" s="1" t="n">
        <v>43843</v>
      </c>
      <c r="C73" s="1" t="n">
        <v>45799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3462-2020</t>
        </is>
      </c>
      <c r="B74" s="1" t="n">
        <v>43852</v>
      </c>
      <c r="C74" s="1" t="n">
        <v>45799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11568-2020</t>
        </is>
      </c>
      <c r="B75" s="1" t="n">
        <v>43893</v>
      </c>
      <c r="C75" s="1" t="n">
        <v>45799</v>
      </c>
      <c r="D75" t="inlineStr">
        <is>
          <t>ÖREBRO LÄN</t>
        </is>
      </c>
      <c r="E75" t="inlineStr">
        <is>
          <t>LAXÅ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11919-2020</t>
        </is>
      </c>
      <c r="B76" s="1" t="n">
        <v>43894</v>
      </c>
      <c r="C76" s="1" t="n">
        <v>45799</v>
      </c>
      <c r="D76" t="inlineStr">
        <is>
          <t>ÖREBRO LÄN</t>
        </is>
      </c>
      <c r="E76" t="inlineStr">
        <is>
          <t>LAXÅ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14477-2020</t>
        </is>
      </c>
      <c r="B77" s="1" t="n">
        <v>43902</v>
      </c>
      <c r="C77" s="1" t="n">
        <v>45799</v>
      </c>
      <c r="D77" t="inlineStr">
        <is>
          <t>ÖREBRO LÄN</t>
        </is>
      </c>
      <c r="E77" t="inlineStr">
        <is>
          <t>LAXÅ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17482-2020</t>
        </is>
      </c>
      <c r="B78" s="1" t="n">
        <v>43923</v>
      </c>
      <c r="C78" s="1" t="n">
        <v>45799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17663-2020</t>
        </is>
      </c>
      <c r="B79" s="1" t="n">
        <v>43923</v>
      </c>
      <c r="C79" s="1" t="n">
        <v>45799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17673-2020</t>
        </is>
      </c>
      <c r="B80" s="1" t="n">
        <v>43923</v>
      </c>
      <c r="C80" s="1" t="n">
        <v>45799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18122-2020</t>
        </is>
      </c>
      <c r="B81" s="1" t="n">
        <v>43924</v>
      </c>
      <c r="C81" s="1" t="n">
        <v>45799</v>
      </c>
      <c r="D81" t="inlineStr">
        <is>
          <t>ÖREBRO LÄN</t>
        </is>
      </c>
      <c r="E81" t="inlineStr">
        <is>
          <t>LAXÅ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18119-2020</t>
        </is>
      </c>
      <c r="B82" s="1" t="n">
        <v>43924</v>
      </c>
      <c r="C82" s="1" t="n">
        <v>45799</v>
      </c>
      <c r="D82" t="inlineStr">
        <is>
          <t>ÖREBRO LÄN</t>
        </is>
      </c>
      <c r="E82" t="inlineStr">
        <is>
          <t>LAXÅ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20559-2020</t>
        </is>
      </c>
      <c r="B83" s="1" t="n">
        <v>43948</v>
      </c>
      <c r="C83" s="1" t="n">
        <v>45799</v>
      </c>
      <c r="D83" t="inlineStr">
        <is>
          <t>ÖREBRO LÄN</t>
        </is>
      </c>
      <c r="E83" t="inlineStr">
        <is>
          <t>LAXÅ</t>
        </is>
      </c>
      <c r="F83" t="inlineStr">
        <is>
          <t>Allmännings- och besparingsskogar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20613-2020</t>
        </is>
      </c>
      <c r="B84" s="1" t="n">
        <v>43948</v>
      </c>
      <c r="C84" s="1" t="n">
        <v>45799</v>
      </c>
      <c r="D84" t="inlineStr">
        <is>
          <t>ÖREBRO LÄN</t>
        </is>
      </c>
      <c r="E84" t="inlineStr">
        <is>
          <t>LAXÅ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21249-2020</t>
        </is>
      </c>
      <c r="B85" s="1" t="n">
        <v>43955</v>
      </c>
      <c r="C85" s="1" t="n">
        <v>45799</v>
      </c>
      <c r="D85" t="inlineStr">
        <is>
          <t>ÖREBRO LÄN</t>
        </is>
      </c>
      <c r="E85" t="inlineStr">
        <is>
          <t>LAXÅ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24615-2020</t>
        </is>
      </c>
      <c r="B86" s="1" t="n">
        <v>43977</v>
      </c>
      <c r="C86" s="1" t="n">
        <v>45799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24624-2020</t>
        </is>
      </c>
      <c r="B87" s="1" t="n">
        <v>43977</v>
      </c>
      <c r="C87" s="1" t="n">
        <v>45799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24844-2020</t>
        </is>
      </c>
      <c r="B88" s="1" t="n">
        <v>43978</v>
      </c>
      <c r="C88" s="1" t="n">
        <v>45799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25322-2020</t>
        </is>
      </c>
      <c r="B89" s="1" t="n">
        <v>43980</v>
      </c>
      <c r="C89" s="1" t="n">
        <v>45799</v>
      </c>
      <c r="D89" t="inlineStr">
        <is>
          <t>ÖREBRO LÄN</t>
        </is>
      </c>
      <c r="E89" t="inlineStr">
        <is>
          <t>LAXÅ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25654-2020</t>
        </is>
      </c>
      <c r="B90" s="1" t="n">
        <v>43983</v>
      </c>
      <c r="C90" s="1" t="n">
        <v>45799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25653-2020</t>
        </is>
      </c>
      <c r="B91" s="1" t="n">
        <v>43983</v>
      </c>
      <c r="C91" s="1" t="n">
        <v>45799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25655-2020</t>
        </is>
      </c>
      <c r="B92" s="1" t="n">
        <v>43983</v>
      </c>
      <c r="C92" s="1" t="n">
        <v>45799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26549-2020</t>
        </is>
      </c>
      <c r="B93" s="1" t="n">
        <v>43987</v>
      </c>
      <c r="C93" s="1" t="n">
        <v>45799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30779-2020</t>
        </is>
      </c>
      <c r="B94" s="1" t="n">
        <v>44009</v>
      </c>
      <c r="C94" s="1" t="n">
        <v>45799</v>
      </c>
      <c r="D94" t="inlineStr">
        <is>
          <t>ÖREBRO LÄN</t>
        </is>
      </c>
      <c r="E94" t="inlineStr">
        <is>
          <t>LAXÅ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33422-2020</t>
        </is>
      </c>
      <c r="B95" s="1" t="n">
        <v>44021</v>
      </c>
      <c r="C95" s="1" t="n">
        <v>45799</v>
      </c>
      <c r="D95" t="inlineStr">
        <is>
          <t>ÖREBRO LÄN</t>
        </is>
      </c>
      <c r="E95" t="inlineStr">
        <is>
          <t>LAXÅ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34382-2020</t>
        </is>
      </c>
      <c r="B96" s="1" t="n">
        <v>44032</v>
      </c>
      <c r="C96" s="1" t="n">
        <v>45799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34982-2020</t>
        </is>
      </c>
      <c r="B97" s="1" t="n">
        <v>44039</v>
      </c>
      <c r="C97" s="1" t="n">
        <v>45799</v>
      </c>
      <c r="D97" t="inlineStr">
        <is>
          <t>ÖREBRO LÄN</t>
        </is>
      </c>
      <c r="E97" t="inlineStr">
        <is>
          <t>LAXÅ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35077-2020</t>
        </is>
      </c>
      <c r="B98" s="1" t="n">
        <v>44039</v>
      </c>
      <c r="C98" s="1" t="n">
        <v>45799</v>
      </c>
      <c r="D98" t="inlineStr">
        <is>
          <t>ÖREBRO LÄN</t>
        </is>
      </c>
      <c r="E98" t="inlineStr">
        <is>
          <t>LAXÅ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35078-2020</t>
        </is>
      </c>
      <c r="B99" s="1" t="n">
        <v>44039</v>
      </c>
      <c r="C99" s="1" t="n">
        <v>45799</v>
      </c>
      <c r="D99" t="inlineStr">
        <is>
          <t>ÖREBRO LÄN</t>
        </is>
      </c>
      <c r="E99" t="inlineStr">
        <is>
          <t>LAXÅ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36493-2020</t>
        </is>
      </c>
      <c r="B100" s="1" t="n">
        <v>44050</v>
      </c>
      <c r="C100" s="1" t="n">
        <v>45799</v>
      </c>
      <c r="D100" t="inlineStr">
        <is>
          <t>ÖREBRO LÄN</t>
        </is>
      </c>
      <c r="E100" t="inlineStr">
        <is>
          <t>LAXÅ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41422-2020</t>
        </is>
      </c>
      <c r="B101" s="1" t="n">
        <v>44073</v>
      </c>
      <c r="C101" s="1" t="n">
        <v>45799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43688-2020</t>
        </is>
      </c>
      <c r="B102" s="1" t="n">
        <v>44082</v>
      </c>
      <c r="C102" s="1" t="n">
        <v>45799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43683-2020</t>
        </is>
      </c>
      <c r="B103" s="1" t="n">
        <v>44082</v>
      </c>
      <c r="C103" s="1" t="n">
        <v>45799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45156-2020</t>
        </is>
      </c>
      <c r="B104" s="1" t="n">
        <v>44088</v>
      </c>
      <c r="C104" s="1" t="n">
        <v>45799</v>
      </c>
      <c r="D104" t="inlineStr">
        <is>
          <t>ÖREBRO LÄN</t>
        </is>
      </c>
      <c r="E104" t="inlineStr">
        <is>
          <t>LAXÅ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47926-2020</t>
        </is>
      </c>
      <c r="B105" s="1" t="n">
        <v>44099</v>
      </c>
      <c r="C105" s="1" t="n">
        <v>45799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48123-2020</t>
        </is>
      </c>
      <c r="B106" s="1" t="n">
        <v>44102</v>
      </c>
      <c r="C106" s="1" t="n">
        <v>45799</v>
      </c>
      <c r="D106" t="inlineStr">
        <is>
          <t>ÖREBRO LÄN</t>
        </is>
      </c>
      <c r="E106" t="inlineStr">
        <is>
          <t>LAXÅ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48572-2020</t>
        </is>
      </c>
      <c r="B107" s="1" t="n">
        <v>44103</v>
      </c>
      <c r="C107" s="1" t="n">
        <v>45799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51174-2020</t>
        </is>
      </c>
      <c r="B108" s="1" t="n">
        <v>44112</v>
      </c>
      <c r="C108" s="1" t="n">
        <v>45799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51187-2020</t>
        </is>
      </c>
      <c r="B109" s="1" t="n">
        <v>44112</v>
      </c>
      <c r="C109" s="1" t="n">
        <v>45799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51184-2020</t>
        </is>
      </c>
      <c r="B110" s="1" t="n">
        <v>44112</v>
      </c>
      <c r="C110" s="1" t="n">
        <v>45799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52679-2020</t>
        </is>
      </c>
      <c r="B111" s="1" t="n">
        <v>44117</v>
      </c>
      <c r="C111" s="1" t="n">
        <v>45799</v>
      </c>
      <c r="D111" t="inlineStr">
        <is>
          <t>ÖREBRO LÄN</t>
        </is>
      </c>
      <c r="E111" t="inlineStr">
        <is>
          <t>LAXÅ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53973-2020</t>
        </is>
      </c>
      <c r="B112" s="1" t="n">
        <v>44125</v>
      </c>
      <c r="C112" s="1" t="n">
        <v>45799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53987-2020</t>
        </is>
      </c>
      <c r="B113" s="1" t="n">
        <v>44125</v>
      </c>
      <c r="C113" s="1" t="n">
        <v>45799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54101-2020</t>
        </is>
      </c>
      <c r="B114" s="1" t="n">
        <v>44125</v>
      </c>
      <c r="C114" s="1" t="n">
        <v>45799</v>
      </c>
      <c r="D114" t="inlineStr">
        <is>
          <t>ÖREBRO LÄN</t>
        </is>
      </c>
      <c r="E114" t="inlineStr">
        <is>
          <t>LAXÅ</t>
        </is>
      </c>
      <c r="F114" t="inlineStr">
        <is>
          <t>Övriga statliga verk och myndigheter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54954-2020</t>
        </is>
      </c>
      <c r="B115" s="1" t="n">
        <v>44129</v>
      </c>
      <c r="C115" s="1" t="n">
        <v>45799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55017-2020</t>
        </is>
      </c>
      <c r="B116" s="1" t="n">
        <v>44130</v>
      </c>
      <c r="C116" s="1" t="n">
        <v>45799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55991-2020</t>
        </is>
      </c>
      <c r="B117" s="1" t="n">
        <v>44133</v>
      </c>
      <c r="C117" s="1" t="n">
        <v>45799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56042-2020</t>
        </is>
      </c>
      <c r="B118" s="1" t="n">
        <v>44133</v>
      </c>
      <c r="C118" s="1" t="n">
        <v>45799</v>
      </c>
      <c r="D118" t="inlineStr">
        <is>
          <t>ÖREBRO LÄN</t>
        </is>
      </c>
      <c r="E118" t="inlineStr">
        <is>
          <t>LAXÅ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55994-2020</t>
        </is>
      </c>
      <c r="B119" s="1" t="n">
        <v>44133</v>
      </c>
      <c r="C119" s="1" t="n">
        <v>45799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56858-2020</t>
        </is>
      </c>
      <c r="B120" s="1" t="n">
        <v>44134</v>
      </c>
      <c r="C120" s="1" t="n">
        <v>45799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57358-2020</t>
        </is>
      </c>
      <c r="B121" s="1" t="n">
        <v>44139</v>
      </c>
      <c r="C121" s="1" t="n">
        <v>45799</v>
      </c>
      <c r="D121" t="inlineStr">
        <is>
          <t>ÖREBRO LÄN</t>
        </is>
      </c>
      <c r="E121" t="inlineStr">
        <is>
          <t>LAXÅ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57359-2020</t>
        </is>
      </c>
      <c r="B122" s="1" t="n">
        <v>44139</v>
      </c>
      <c r="C122" s="1" t="n">
        <v>45799</v>
      </c>
      <c r="D122" t="inlineStr">
        <is>
          <t>ÖREBRO LÄN</t>
        </is>
      </c>
      <c r="E122" t="inlineStr">
        <is>
          <t>LAXÅ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57361-2020</t>
        </is>
      </c>
      <c r="B123" s="1" t="n">
        <v>44139</v>
      </c>
      <c r="C123" s="1" t="n">
        <v>45799</v>
      </c>
      <c r="D123" t="inlineStr">
        <is>
          <t>ÖREBRO LÄN</t>
        </is>
      </c>
      <c r="E123" t="inlineStr">
        <is>
          <t>LAXÅ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59683-2020</t>
        </is>
      </c>
      <c r="B124" s="1" t="n">
        <v>44151</v>
      </c>
      <c r="C124" s="1" t="n">
        <v>45799</v>
      </c>
      <c r="D124" t="inlineStr">
        <is>
          <t>ÖREBRO LÄN</t>
        </is>
      </c>
      <c r="E124" t="inlineStr">
        <is>
          <t>LAXÅ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67725-2020</t>
        </is>
      </c>
      <c r="B125" s="1" t="n">
        <v>44182</v>
      </c>
      <c r="C125" s="1" t="n">
        <v>45799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67740-2020</t>
        </is>
      </c>
      <c r="B126" s="1" t="n">
        <v>44182</v>
      </c>
      <c r="C126" s="1" t="n">
        <v>45799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67766-2020</t>
        </is>
      </c>
      <c r="B127" s="1" t="n">
        <v>44182</v>
      </c>
      <c r="C127" s="1" t="n">
        <v>45799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67814-2020</t>
        </is>
      </c>
      <c r="B128" s="1" t="n">
        <v>44182</v>
      </c>
      <c r="C128" s="1" t="n">
        <v>45799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67825-2020</t>
        </is>
      </c>
      <c r="B129" s="1" t="n">
        <v>44182</v>
      </c>
      <c r="C129" s="1" t="n">
        <v>45799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67849-2020</t>
        </is>
      </c>
      <c r="B130" s="1" t="n">
        <v>44182</v>
      </c>
      <c r="C130" s="1" t="n">
        <v>45799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67626-2020</t>
        </is>
      </c>
      <c r="B131" s="1" t="n">
        <v>44182</v>
      </c>
      <c r="C131" s="1" t="n">
        <v>45799</v>
      </c>
      <c r="D131" t="inlineStr">
        <is>
          <t>ÖREBRO LÄN</t>
        </is>
      </c>
      <c r="E131" t="inlineStr">
        <is>
          <t>LAXÅ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67792-2020</t>
        </is>
      </c>
      <c r="B132" s="1" t="n">
        <v>44182</v>
      </c>
      <c r="C132" s="1" t="n">
        <v>45799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67806-2020</t>
        </is>
      </c>
      <c r="B133" s="1" t="n">
        <v>44182</v>
      </c>
      <c r="C133" s="1" t="n">
        <v>45799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67822-2020</t>
        </is>
      </c>
      <c r="B134" s="1" t="n">
        <v>44182</v>
      </c>
      <c r="C134" s="1" t="n">
        <v>45799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67790-2020</t>
        </is>
      </c>
      <c r="B135" s="1" t="n">
        <v>44182</v>
      </c>
      <c r="C135" s="1" t="n">
        <v>45799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67802-2020</t>
        </is>
      </c>
      <c r="B136" s="1" t="n">
        <v>44182</v>
      </c>
      <c r="C136" s="1" t="n">
        <v>45799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67829-2020</t>
        </is>
      </c>
      <c r="B137" s="1" t="n">
        <v>44182</v>
      </c>
      <c r="C137" s="1" t="n">
        <v>45799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67853-2020</t>
        </is>
      </c>
      <c r="B138" s="1" t="n">
        <v>44182</v>
      </c>
      <c r="C138" s="1" t="n">
        <v>45799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67858-2020</t>
        </is>
      </c>
      <c r="B139" s="1" t="n">
        <v>44182</v>
      </c>
      <c r="C139" s="1" t="n">
        <v>45799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67726-2020</t>
        </is>
      </c>
      <c r="B140" s="1" t="n">
        <v>44182</v>
      </c>
      <c r="C140" s="1" t="n">
        <v>45799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67796-2020</t>
        </is>
      </c>
      <c r="B141" s="1" t="n">
        <v>44182</v>
      </c>
      <c r="C141" s="1" t="n">
        <v>45799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67819-2020</t>
        </is>
      </c>
      <c r="B142" s="1" t="n">
        <v>44182</v>
      </c>
      <c r="C142" s="1" t="n">
        <v>45799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67826-2020</t>
        </is>
      </c>
      <c r="B143" s="1" t="n">
        <v>44182</v>
      </c>
      <c r="C143" s="1" t="n">
        <v>45799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67863-2020</t>
        </is>
      </c>
      <c r="B144" s="1" t="n">
        <v>44182</v>
      </c>
      <c r="C144" s="1" t="n">
        <v>45799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67861-2020</t>
        </is>
      </c>
      <c r="B145" s="1" t="n">
        <v>44182</v>
      </c>
      <c r="C145" s="1" t="n">
        <v>45799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67871-2020</t>
        </is>
      </c>
      <c r="B146" s="1" t="n">
        <v>44182</v>
      </c>
      <c r="C146" s="1" t="n">
        <v>45799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67879-2020</t>
        </is>
      </c>
      <c r="B147" s="1" t="n">
        <v>44182</v>
      </c>
      <c r="C147" s="1" t="n">
        <v>45799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67891-2020</t>
        </is>
      </c>
      <c r="B148" s="1" t="n">
        <v>44182</v>
      </c>
      <c r="C148" s="1" t="n">
        <v>45799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67902-2020</t>
        </is>
      </c>
      <c r="B149" s="1" t="n">
        <v>44182</v>
      </c>
      <c r="C149" s="1" t="n">
        <v>45799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67859-2020</t>
        </is>
      </c>
      <c r="B150" s="1" t="n">
        <v>44182</v>
      </c>
      <c r="C150" s="1" t="n">
        <v>45799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67869-2020</t>
        </is>
      </c>
      <c r="B151" s="1" t="n">
        <v>44182</v>
      </c>
      <c r="C151" s="1" t="n">
        <v>45799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67885-2020</t>
        </is>
      </c>
      <c r="B152" s="1" t="n">
        <v>44182</v>
      </c>
      <c r="C152" s="1" t="n">
        <v>45799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67901-2020</t>
        </is>
      </c>
      <c r="B153" s="1" t="n">
        <v>44182</v>
      </c>
      <c r="C153" s="1" t="n">
        <v>45799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67865-2020</t>
        </is>
      </c>
      <c r="B154" s="1" t="n">
        <v>44182</v>
      </c>
      <c r="C154" s="1" t="n">
        <v>45799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67874-2020</t>
        </is>
      </c>
      <c r="B155" s="1" t="n">
        <v>44182</v>
      </c>
      <c r="C155" s="1" t="n">
        <v>45799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67900-2020</t>
        </is>
      </c>
      <c r="B156" s="1" t="n">
        <v>44182</v>
      </c>
      <c r="C156" s="1" t="n">
        <v>45799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67907-2020</t>
        </is>
      </c>
      <c r="B157" s="1" t="n">
        <v>44182</v>
      </c>
      <c r="C157" s="1" t="n">
        <v>45799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67917-2020</t>
        </is>
      </c>
      <c r="B158" s="1" t="n">
        <v>44182</v>
      </c>
      <c r="C158" s="1" t="n">
        <v>45799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67895-2020</t>
        </is>
      </c>
      <c r="B159" s="1" t="n">
        <v>44182</v>
      </c>
      <c r="C159" s="1" t="n">
        <v>45799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67905-2020</t>
        </is>
      </c>
      <c r="B160" s="1" t="n">
        <v>44182</v>
      </c>
      <c r="C160" s="1" t="n">
        <v>45799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67913-2020</t>
        </is>
      </c>
      <c r="B161" s="1" t="n">
        <v>44182</v>
      </c>
      <c r="C161" s="1" t="n">
        <v>45799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67919-2020</t>
        </is>
      </c>
      <c r="B162" s="1" t="n">
        <v>44182</v>
      </c>
      <c r="C162" s="1" t="n">
        <v>45799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68107-2020</t>
        </is>
      </c>
      <c r="B163" s="1" t="n">
        <v>44182</v>
      </c>
      <c r="C163" s="1" t="n">
        <v>45799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67918-2020</t>
        </is>
      </c>
      <c r="B164" s="1" t="n">
        <v>44182</v>
      </c>
      <c r="C164" s="1" t="n">
        <v>45799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67906-2020</t>
        </is>
      </c>
      <c r="B165" s="1" t="n">
        <v>44182</v>
      </c>
      <c r="C165" s="1" t="n">
        <v>45799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67915-2020</t>
        </is>
      </c>
      <c r="B166" s="1" t="n">
        <v>44182</v>
      </c>
      <c r="C166" s="1" t="n">
        <v>45799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68079-2020</t>
        </is>
      </c>
      <c r="B167" s="1" t="n">
        <v>44183</v>
      </c>
      <c r="C167" s="1" t="n">
        <v>45799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45799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68453-2020</t>
        </is>
      </c>
      <c r="B169" s="1" t="n">
        <v>44183</v>
      </c>
      <c r="C169" s="1" t="n">
        <v>45799</v>
      </c>
      <c r="D169" t="inlineStr">
        <is>
          <t>ÖREBRO LÄN</t>
        </is>
      </c>
      <c r="E169" t="inlineStr">
        <is>
          <t>LAXÅ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3615-2021</t>
        </is>
      </c>
      <c r="B170" s="1" t="n">
        <v>44221</v>
      </c>
      <c r="C170" s="1" t="n">
        <v>45799</v>
      </c>
      <c r="D170" t="inlineStr">
        <is>
          <t>ÖREBRO LÄN</t>
        </is>
      </c>
      <c r="E170" t="inlineStr">
        <is>
          <t>LAXÅ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4188-2021</t>
        </is>
      </c>
      <c r="B171" s="1" t="n">
        <v>44223</v>
      </c>
      <c r="C171" s="1" t="n">
        <v>45799</v>
      </c>
      <c r="D171" t="inlineStr">
        <is>
          <t>ÖREBRO LÄN</t>
        </is>
      </c>
      <c r="E171" t="inlineStr">
        <is>
          <t>LAXÅ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12682-2021</t>
        </is>
      </c>
      <c r="B172" s="1" t="n">
        <v>44270</v>
      </c>
      <c r="C172" s="1" t="n">
        <v>45799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12678-2021</t>
        </is>
      </c>
      <c r="B173" s="1" t="n">
        <v>44270</v>
      </c>
      <c r="C173" s="1" t="n">
        <v>45799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15770-2021</t>
        </is>
      </c>
      <c r="B174" s="1" t="n">
        <v>44286</v>
      </c>
      <c r="C174" s="1" t="n">
        <v>45799</v>
      </c>
      <c r="D174" t="inlineStr">
        <is>
          <t>ÖREBRO LÄN</t>
        </is>
      </c>
      <c r="E174" t="inlineStr">
        <is>
          <t>LAXÅ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17077-2021</t>
        </is>
      </c>
      <c r="B175" s="1" t="n">
        <v>44297</v>
      </c>
      <c r="C175" s="1" t="n">
        <v>45799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17084-2021</t>
        </is>
      </c>
      <c r="B176" s="1" t="n">
        <v>44297</v>
      </c>
      <c r="C176" s="1" t="n">
        <v>45799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17078-2021</t>
        </is>
      </c>
      <c r="B177" s="1" t="n">
        <v>44297</v>
      </c>
      <c r="C177" s="1" t="n">
        <v>45799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17076-2021</t>
        </is>
      </c>
      <c r="B178" s="1" t="n">
        <v>44297</v>
      </c>
      <c r="C178" s="1" t="n">
        <v>45799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19774-2021</t>
        </is>
      </c>
      <c r="B179" s="1" t="n">
        <v>44309</v>
      </c>
      <c r="C179" s="1" t="n">
        <v>45799</v>
      </c>
      <c r="D179" t="inlineStr">
        <is>
          <t>ÖREBRO LÄN</t>
        </is>
      </c>
      <c r="E179" t="inlineStr">
        <is>
          <t>LAXÅ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21520-2021</t>
        </is>
      </c>
      <c r="B180" s="1" t="n">
        <v>44321</v>
      </c>
      <c r="C180" s="1" t="n">
        <v>45799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21539-2021</t>
        </is>
      </c>
      <c r="B181" s="1" t="n">
        <v>44321</v>
      </c>
      <c r="C181" s="1" t="n">
        <v>45799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21549-2021</t>
        </is>
      </c>
      <c r="B182" s="1" t="n">
        <v>44321</v>
      </c>
      <c r="C182" s="1" t="n">
        <v>45799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21771-2021</t>
        </is>
      </c>
      <c r="B183" s="1" t="n">
        <v>44322</v>
      </c>
      <c r="C183" s="1" t="n">
        <v>45799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22804-2021</t>
        </is>
      </c>
      <c r="B184" s="1" t="n">
        <v>44328</v>
      </c>
      <c r="C184" s="1" t="n">
        <v>45799</v>
      </c>
      <c r="D184" t="inlineStr">
        <is>
          <t>ÖREBRO LÄN</t>
        </is>
      </c>
      <c r="E184" t="inlineStr">
        <is>
          <t>LAXÅ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22927-2021</t>
        </is>
      </c>
      <c r="B185" s="1" t="n">
        <v>44328</v>
      </c>
      <c r="C185" s="1" t="n">
        <v>45799</v>
      </c>
      <c r="D185" t="inlineStr">
        <is>
          <t>ÖREBRO LÄN</t>
        </is>
      </c>
      <c r="E185" t="inlineStr">
        <is>
          <t>LAXÅ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22810-2021</t>
        </is>
      </c>
      <c r="B186" s="1" t="n">
        <v>44328</v>
      </c>
      <c r="C186" s="1" t="n">
        <v>45799</v>
      </c>
      <c r="D186" t="inlineStr">
        <is>
          <t>ÖREBRO LÄN</t>
        </is>
      </c>
      <c r="E186" t="inlineStr">
        <is>
          <t>LAXÅ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22964-2021</t>
        </is>
      </c>
      <c r="B187" s="1" t="n">
        <v>44328</v>
      </c>
      <c r="C187" s="1" t="n">
        <v>45799</v>
      </c>
      <c r="D187" t="inlineStr">
        <is>
          <t>ÖREBRO LÄN</t>
        </is>
      </c>
      <c r="E187" t="inlineStr">
        <is>
          <t>LAXÅ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22970-2021</t>
        </is>
      </c>
      <c r="B188" s="1" t="n">
        <v>44328</v>
      </c>
      <c r="C188" s="1" t="n">
        <v>45799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23229-2021</t>
        </is>
      </c>
      <c r="B189" s="1" t="n">
        <v>44333</v>
      </c>
      <c r="C189" s="1" t="n">
        <v>45799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24200-2021</t>
        </is>
      </c>
      <c r="B190" s="1" t="n">
        <v>44336</v>
      </c>
      <c r="C190" s="1" t="n">
        <v>45799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24967-2021</t>
        </is>
      </c>
      <c r="B191" s="1" t="n">
        <v>44341</v>
      </c>
      <c r="C191" s="1" t="n">
        <v>45799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25710-2021</t>
        </is>
      </c>
      <c r="B192" s="1" t="n">
        <v>44343</v>
      </c>
      <c r="C192" s="1" t="n">
        <v>45799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27502-2021</t>
        </is>
      </c>
      <c r="B193" s="1" t="n">
        <v>44351</v>
      </c>
      <c r="C193" s="1" t="n">
        <v>45799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28859-2021</t>
        </is>
      </c>
      <c r="B194" s="1" t="n">
        <v>44357</v>
      </c>
      <c r="C194" s="1" t="n">
        <v>45799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28861-2021</t>
        </is>
      </c>
      <c r="B195" s="1" t="n">
        <v>44357</v>
      </c>
      <c r="C195" s="1" t="n">
        <v>45799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28858-2021</t>
        </is>
      </c>
      <c r="B196" s="1" t="n">
        <v>44357</v>
      </c>
      <c r="C196" s="1" t="n">
        <v>45799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28863-2021</t>
        </is>
      </c>
      <c r="B197" s="1" t="n">
        <v>44357</v>
      </c>
      <c r="C197" s="1" t="n">
        <v>45799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</v>
      </c>
      <c r="C198" s="1" t="n">
        <v>45799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29560-2021</t>
        </is>
      </c>
      <c r="B199" s="1" t="n">
        <v>44361</v>
      </c>
      <c r="C199" s="1" t="n">
        <v>45799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30078-2021</t>
        </is>
      </c>
      <c r="B200" s="1" t="n">
        <v>44363</v>
      </c>
      <c r="C200" s="1" t="n">
        <v>45799</v>
      </c>
      <c r="D200" t="inlineStr">
        <is>
          <t>ÖREBRO LÄN</t>
        </is>
      </c>
      <c r="E200" t="inlineStr">
        <is>
          <t>LAXÅ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33654-2021</t>
        </is>
      </c>
      <c r="B201" s="1" t="n">
        <v>44378</v>
      </c>
      <c r="C201" s="1" t="n">
        <v>45799</v>
      </c>
      <c r="D201" t="inlineStr">
        <is>
          <t>ÖREBRO LÄN</t>
        </is>
      </c>
      <c r="E201" t="inlineStr">
        <is>
          <t>LAXÅ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33863-2021</t>
        </is>
      </c>
      <c r="B202" s="1" t="n">
        <v>44378</v>
      </c>
      <c r="C202" s="1" t="n">
        <v>45799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33848-2021</t>
        </is>
      </c>
      <c r="B203" s="1" t="n">
        <v>44378</v>
      </c>
      <c r="C203" s="1" t="n">
        <v>45799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33862-2021</t>
        </is>
      </c>
      <c r="B204" s="1" t="n">
        <v>44378</v>
      </c>
      <c r="C204" s="1" t="n">
        <v>45799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34082-2021</t>
        </is>
      </c>
      <c r="B205" s="1" t="n">
        <v>44379</v>
      </c>
      <c r="C205" s="1" t="n">
        <v>45799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34143-2021</t>
        </is>
      </c>
      <c r="B206" s="1" t="n">
        <v>44379</v>
      </c>
      <c r="C206" s="1" t="n">
        <v>45799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34158-2021</t>
        </is>
      </c>
      <c r="B207" s="1" t="n">
        <v>44379</v>
      </c>
      <c r="C207" s="1" t="n">
        <v>45799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34161-2021</t>
        </is>
      </c>
      <c r="B208" s="1" t="n">
        <v>44379</v>
      </c>
      <c r="C208" s="1" t="n">
        <v>45799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34137-2021</t>
        </is>
      </c>
      <c r="B209" s="1" t="n">
        <v>44379</v>
      </c>
      <c r="C209" s="1" t="n">
        <v>45799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34515-2021</t>
        </is>
      </c>
      <c r="B210" s="1" t="n">
        <v>44379</v>
      </c>
      <c r="C210" s="1" t="n">
        <v>45799</v>
      </c>
      <c r="D210" t="inlineStr">
        <is>
          <t>ÖREBRO LÄN</t>
        </is>
      </c>
      <c r="E210" t="inlineStr">
        <is>
          <t>LAXÅ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34156-2021</t>
        </is>
      </c>
      <c r="B211" s="1" t="n">
        <v>44379</v>
      </c>
      <c r="C211" s="1" t="n">
        <v>45799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34668-2021</t>
        </is>
      </c>
      <c r="B212" s="1" t="n">
        <v>44382</v>
      </c>
      <c r="C212" s="1" t="n">
        <v>45799</v>
      </c>
      <c r="D212" t="inlineStr">
        <is>
          <t>ÖREBRO LÄN</t>
        </is>
      </c>
      <c r="E212" t="inlineStr">
        <is>
          <t>LAXÅ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36900-2021</t>
        </is>
      </c>
      <c r="B213" s="1" t="n">
        <v>44393</v>
      </c>
      <c r="C213" s="1" t="n">
        <v>45799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36908-2021</t>
        </is>
      </c>
      <c r="B214" s="1" t="n">
        <v>44393</v>
      </c>
      <c r="C214" s="1" t="n">
        <v>45799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36884-2021</t>
        </is>
      </c>
      <c r="B215" s="1" t="n">
        <v>44393</v>
      </c>
      <c r="C215" s="1" t="n">
        <v>45799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36880-2021</t>
        </is>
      </c>
      <c r="B216" s="1" t="n">
        <v>44393</v>
      </c>
      <c r="C216" s="1" t="n">
        <v>45799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36889-2021</t>
        </is>
      </c>
      <c r="B217" s="1" t="n">
        <v>44393</v>
      </c>
      <c r="C217" s="1" t="n">
        <v>45799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36902-2021</t>
        </is>
      </c>
      <c r="B218" s="1" t="n">
        <v>44393</v>
      </c>
      <c r="C218" s="1" t="n">
        <v>45799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36910-2021</t>
        </is>
      </c>
      <c r="B219" s="1" t="n">
        <v>44393</v>
      </c>
      <c r="C219" s="1" t="n">
        <v>45799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36925-2021</t>
        </is>
      </c>
      <c r="B220" s="1" t="n">
        <v>44393</v>
      </c>
      <c r="C220" s="1" t="n">
        <v>45799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36897-2021</t>
        </is>
      </c>
      <c r="B221" s="1" t="n">
        <v>44393</v>
      </c>
      <c r="C221" s="1" t="n">
        <v>45799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36901-2021</t>
        </is>
      </c>
      <c r="B222" s="1" t="n">
        <v>44393</v>
      </c>
      <c r="C222" s="1" t="n">
        <v>45799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36909-2021</t>
        </is>
      </c>
      <c r="B223" s="1" t="n">
        <v>44393</v>
      </c>
      <c r="C223" s="1" t="n">
        <v>45799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36928-2021</t>
        </is>
      </c>
      <c r="B224" s="1" t="n">
        <v>44393</v>
      </c>
      <c r="C224" s="1" t="n">
        <v>45799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36891-2021</t>
        </is>
      </c>
      <c r="B225" s="1" t="n">
        <v>44393</v>
      </c>
      <c r="C225" s="1" t="n">
        <v>45799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36899-2021</t>
        </is>
      </c>
      <c r="B226" s="1" t="n">
        <v>44393</v>
      </c>
      <c r="C226" s="1" t="n">
        <v>45799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36906-2021</t>
        </is>
      </c>
      <c r="B227" s="1" t="n">
        <v>44393</v>
      </c>
      <c r="C227" s="1" t="n">
        <v>45799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36911-2021</t>
        </is>
      </c>
      <c r="B228" s="1" t="n">
        <v>44393</v>
      </c>
      <c r="C228" s="1" t="n">
        <v>45799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36926-2021</t>
        </is>
      </c>
      <c r="B229" s="1" t="n">
        <v>44393</v>
      </c>
      <c r="C229" s="1" t="n">
        <v>45799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38268-2021</t>
        </is>
      </c>
      <c r="B230" s="1" t="n">
        <v>44405</v>
      </c>
      <c r="C230" s="1" t="n">
        <v>45799</v>
      </c>
      <c r="D230" t="inlineStr">
        <is>
          <t>ÖREBRO LÄN</t>
        </is>
      </c>
      <c r="E230" t="inlineStr">
        <is>
          <t>LAXÅ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40980-2021</t>
        </is>
      </c>
      <c r="B231" s="1" t="n">
        <v>44421</v>
      </c>
      <c r="C231" s="1" t="n">
        <v>45799</v>
      </c>
      <c r="D231" t="inlineStr">
        <is>
          <t>ÖREBRO LÄN</t>
        </is>
      </c>
      <c r="E231" t="inlineStr">
        <is>
          <t>LAXÅ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42184-2021</t>
        </is>
      </c>
      <c r="B232" s="1" t="n">
        <v>44426</v>
      </c>
      <c r="C232" s="1" t="n">
        <v>45799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42185-2021</t>
        </is>
      </c>
      <c r="B233" s="1" t="n">
        <v>44426</v>
      </c>
      <c r="C233" s="1" t="n">
        <v>45799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42189-2021</t>
        </is>
      </c>
      <c r="B234" s="1" t="n">
        <v>44426</v>
      </c>
      <c r="C234" s="1" t="n">
        <v>45799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42395-2021</t>
        </is>
      </c>
      <c r="B235" s="1" t="n">
        <v>44427</v>
      </c>
      <c r="C235" s="1" t="n">
        <v>45799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43796-2021</t>
        </is>
      </c>
      <c r="B236" s="1" t="n">
        <v>44433</v>
      </c>
      <c r="C236" s="1" t="n">
        <v>45799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44099-2021</t>
        </is>
      </c>
      <c r="B237" s="1" t="n">
        <v>44434</v>
      </c>
      <c r="C237" s="1" t="n">
        <v>45799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46134-2021</t>
        </is>
      </c>
      <c r="B238" s="1" t="n">
        <v>44441</v>
      </c>
      <c r="C238" s="1" t="n">
        <v>45799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46487-2021</t>
        </is>
      </c>
      <c r="B239" s="1" t="n">
        <v>44445</v>
      </c>
      <c r="C239" s="1" t="n">
        <v>45799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46484-2021</t>
        </is>
      </c>
      <c r="B240" s="1" t="n">
        <v>44445</v>
      </c>
      <c r="C240" s="1" t="n">
        <v>45799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48216-2021</t>
        </is>
      </c>
      <c r="B241" s="1" t="n">
        <v>44449</v>
      </c>
      <c r="C241" s="1" t="n">
        <v>45799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49974-2021</t>
        </is>
      </c>
      <c r="B242" s="1" t="n">
        <v>44456</v>
      </c>
      <c r="C242" s="1" t="n">
        <v>45799</v>
      </c>
      <c r="D242" t="inlineStr">
        <is>
          <t>ÖREBRO LÄN</t>
        </is>
      </c>
      <c r="E242" t="inlineStr">
        <is>
          <t>LAXÅ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50005-2021</t>
        </is>
      </c>
      <c r="B243" s="1" t="n">
        <v>44456</v>
      </c>
      <c r="C243" s="1" t="n">
        <v>45799</v>
      </c>
      <c r="D243" t="inlineStr">
        <is>
          <t>ÖREBRO LÄN</t>
        </is>
      </c>
      <c r="E243" t="inlineStr">
        <is>
          <t>LAXÅ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50543-2021</t>
        </is>
      </c>
      <c r="B244" s="1" t="n">
        <v>44459</v>
      </c>
      <c r="C244" s="1" t="n">
        <v>45799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52751-2021</t>
        </is>
      </c>
      <c r="B245" s="1" t="n">
        <v>44467</v>
      </c>
      <c r="C245" s="1" t="n">
        <v>45799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55027-2021</t>
        </is>
      </c>
      <c r="B246" s="1" t="n">
        <v>44474</v>
      </c>
      <c r="C246" s="1" t="n">
        <v>45799</v>
      </c>
      <c r="D246" t="inlineStr">
        <is>
          <t>ÖREBRO LÄN</t>
        </is>
      </c>
      <c r="E246" t="inlineStr">
        <is>
          <t>LAXÅ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55207-2021</t>
        </is>
      </c>
      <c r="B247" s="1" t="n">
        <v>44475</v>
      </c>
      <c r="C247" s="1" t="n">
        <v>45799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55212-2021</t>
        </is>
      </c>
      <c r="B248" s="1" t="n">
        <v>44475</v>
      </c>
      <c r="C248" s="1" t="n">
        <v>45799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55218-2021</t>
        </is>
      </c>
      <c r="B249" s="1" t="n">
        <v>44475</v>
      </c>
      <c r="C249" s="1" t="n">
        <v>45799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55214-2021</t>
        </is>
      </c>
      <c r="B250" s="1" t="n">
        <v>44475</v>
      </c>
      <c r="C250" s="1" t="n">
        <v>45799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57380-2021</t>
        </is>
      </c>
      <c r="B251" s="1" t="n">
        <v>44483</v>
      </c>
      <c r="C251" s="1" t="n">
        <v>45799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57363-2021</t>
        </is>
      </c>
      <c r="B252" s="1" t="n">
        <v>44483</v>
      </c>
      <c r="C252" s="1" t="n">
        <v>45799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57377-2021</t>
        </is>
      </c>
      <c r="B253" s="1" t="n">
        <v>44483</v>
      </c>
      <c r="C253" s="1" t="n">
        <v>45799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57367-2021</t>
        </is>
      </c>
      <c r="B254" s="1" t="n">
        <v>44483</v>
      </c>
      <c r="C254" s="1" t="n">
        <v>45799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57375-2021</t>
        </is>
      </c>
      <c r="B255" s="1" t="n">
        <v>44483</v>
      </c>
      <c r="C255" s="1" t="n">
        <v>45799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57379-2021</t>
        </is>
      </c>
      <c r="B256" s="1" t="n">
        <v>44483</v>
      </c>
      <c r="C256" s="1" t="n">
        <v>45799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57364-2021</t>
        </is>
      </c>
      <c r="B257" s="1" t="n">
        <v>44483</v>
      </c>
      <c r="C257" s="1" t="n">
        <v>45799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57378-2021</t>
        </is>
      </c>
      <c r="B258" s="1" t="n">
        <v>44483</v>
      </c>
      <c r="C258" s="1" t="n">
        <v>45799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45799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57956-2021</t>
        </is>
      </c>
      <c r="B260" s="1" t="n">
        <v>44484</v>
      </c>
      <c r="C260" s="1" t="n">
        <v>45799</v>
      </c>
      <c r="D260" t="inlineStr">
        <is>
          <t>ÖREBRO LÄN</t>
        </is>
      </c>
      <c r="E260" t="inlineStr">
        <is>
          <t>LAXÅ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57959-2021</t>
        </is>
      </c>
      <c r="B261" s="1" t="n">
        <v>44484</v>
      </c>
      <c r="C261" s="1" t="n">
        <v>45799</v>
      </c>
      <c r="D261" t="inlineStr">
        <is>
          <t>ÖREBRO LÄN</t>
        </is>
      </c>
      <c r="E261" t="inlineStr">
        <is>
          <t>LAXÅ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59907-2021</t>
        </is>
      </c>
      <c r="B262" s="1" t="n">
        <v>44494</v>
      </c>
      <c r="C262" s="1" t="n">
        <v>45799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59892-2021</t>
        </is>
      </c>
      <c r="B263" s="1" t="n">
        <v>44494</v>
      </c>
      <c r="C263" s="1" t="n">
        <v>45799</v>
      </c>
      <c r="D263" t="inlineStr">
        <is>
          <t>ÖREBRO LÄN</t>
        </is>
      </c>
      <c r="E263" t="inlineStr">
        <is>
          <t>LAXÅ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63630-2021</t>
        </is>
      </c>
      <c r="B264" s="1" t="n">
        <v>44496</v>
      </c>
      <c r="C264" s="1" t="n">
        <v>45799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62437-2021</t>
        </is>
      </c>
      <c r="B265" s="1" t="n">
        <v>44503</v>
      </c>
      <c r="C265" s="1" t="n">
        <v>45799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62454-2021</t>
        </is>
      </c>
      <c r="B266" s="1" t="n">
        <v>44503</v>
      </c>
      <c r="C266" s="1" t="n">
        <v>45799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62458-2021</t>
        </is>
      </c>
      <c r="B267" s="1" t="n">
        <v>44503</v>
      </c>
      <c r="C267" s="1" t="n">
        <v>45799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45799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62428-2021</t>
        </is>
      </c>
      <c r="B269" s="1" t="n">
        <v>44503</v>
      </c>
      <c r="C269" s="1" t="n">
        <v>45799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62438-2021</t>
        </is>
      </c>
      <c r="B270" s="1" t="n">
        <v>44503</v>
      </c>
      <c r="C270" s="1" t="n">
        <v>45799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62455-2021</t>
        </is>
      </c>
      <c r="B271" s="1" t="n">
        <v>44503</v>
      </c>
      <c r="C271" s="1" t="n">
        <v>45799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62459-2021</t>
        </is>
      </c>
      <c r="B272" s="1" t="n">
        <v>44503</v>
      </c>
      <c r="C272" s="1" t="n">
        <v>45799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62439-2021</t>
        </is>
      </c>
      <c r="B273" s="1" t="n">
        <v>44503</v>
      </c>
      <c r="C273" s="1" t="n">
        <v>45799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62456-2021</t>
        </is>
      </c>
      <c r="B274" s="1" t="n">
        <v>44503</v>
      </c>
      <c r="C274" s="1" t="n">
        <v>45799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62460-2021</t>
        </is>
      </c>
      <c r="B275" s="1" t="n">
        <v>44503</v>
      </c>
      <c r="C275" s="1" t="n">
        <v>45799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62402-2021</t>
        </is>
      </c>
      <c r="B276" s="1" t="n">
        <v>44503</v>
      </c>
      <c r="C276" s="1" t="n">
        <v>45799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62423-2021</t>
        </is>
      </c>
      <c r="B277" s="1" t="n">
        <v>44503</v>
      </c>
      <c r="C277" s="1" t="n">
        <v>45799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62457-2021</t>
        </is>
      </c>
      <c r="B278" s="1" t="n">
        <v>44503</v>
      </c>
      <c r="C278" s="1" t="n">
        <v>45799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67054-2021</t>
        </is>
      </c>
      <c r="B279" s="1" t="n">
        <v>44522</v>
      </c>
      <c r="C279" s="1" t="n">
        <v>45799</v>
      </c>
      <c r="D279" t="inlineStr">
        <is>
          <t>ÖREBRO LÄN</t>
        </is>
      </c>
      <c r="E279" t="inlineStr">
        <is>
          <t>LAXÅ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67052-2021</t>
        </is>
      </c>
      <c r="B280" s="1" t="n">
        <v>44522</v>
      </c>
      <c r="C280" s="1" t="n">
        <v>45799</v>
      </c>
      <c r="D280" t="inlineStr">
        <is>
          <t>ÖREBRO LÄN</t>
        </is>
      </c>
      <c r="E280" t="inlineStr">
        <is>
          <t>LAXÅ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45799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67743-2021</t>
        </is>
      </c>
      <c r="B282" s="1" t="n">
        <v>44525</v>
      </c>
      <c r="C282" s="1" t="n">
        <v>45799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68239-2021</t>
        </is>
      </c>
      <c r="B283" s="1" t="n">
        <v>44526</v>
      </c>
      <c r="C283" s="1" t="n">
        <v>45799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68240-2021</t>
        </is>
      </c>
      <c r="B284" s="1" t="n">
        <v>44526</v>
      </c>
      <c r="C284" s="1" t="n">
        <v>45799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68356-2021</t>
        </is>
      </c>
      <c r="B285" s="1" t="n">
        <v>44528</v>
      </c>
      <c r="C285" s="1" t="n">
        <v>45799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69035-2021</t>
        </is>
      </c>
      <c r="B286" s="1" t="n">
        <v>44530</v>
      </c>
      <c r="C286" s="1" t="n">
        <v>45799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70287-2021</t>
        </is>
      </c>
      <c r="B287" s="1" t="n">
        <v>44536</v>
      </c>
      <c r="C287" s="1" t="n">
        <v>45799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72354-2021</t>
        </is>
      </c>
      <c r="B288" s="1" t="n">
        <v>44545</v>
      </c>
      <c r="C288" s="1" t="n">
        <v>45799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951-2022</t>
        </is>
      </c>
      <c r="B289" s="1" t="n">
        <v>44571</v>
      </c>
      <c r="C289" s="1" t="n">
        <v>45799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978-2022</t>
        </is>
      </c>
      <c r="B290" s="1" t="n">
        <v>44571</v>
      </c>
      <c r="C290" s="1" t="n">
        <v>45799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1149-2022</t>
        </is>
      </c>
      <c r="B291" s="1" t="n">
        <v>44571</v>
      </c>
      <c r="C291" s="1" t="n">
        <v>45799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1153-2022</t>
        </is>
      </c>
      <c r="B292" s="1" t="n">
        <v>44571</v>
      </c>
      <c r="C292" s="1" t="n">
        <v>45799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1104-2022</t>
        </is>
      </c>
      <c r="B293" s="1" t="n">
        <v>44571</v>
      </c>
      <c r="C293" s="1" t="n">
        <v>45799</v>
      </c>
      <c r="D293" t="inlineStr">
        <is>
          <t>ÖREBRO LÄN</t>
        </is>
      </c>
      <c r="E293" t="inlineStr">
        <is>
          <t>LAXÅ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1121-2022</t>
        </is>
      </c>
      <c r="B294" s="1" t="n">
        <v>44571</v>
      </c>
      <c r="C294" s="1" t="n">
        <v>45799</v>
      </c>
      <c r="D294" t="inlineStr">
        <is>
          <t>ÖREBRO LÄN</t>
        </is>
      </c>
      <c r="E294" t="inlineStr">
        <is>
          <t>LAXÅ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2372-2022</t>
        </is>
      </c>
      <c r="B295" s="1" t="n">
        <v>44579</v>
      </c>
      <c r="C295" s="1" t="n">
        <v>45799</v>
      </c>
      <c r="D295" t="inlineStr">
        <is>
          <t>ÖREBRO LÄN</t>
        </is>
      </c>
      <c r="E295" t="inlineStr">
        <is>
          <t>LAXÅ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5441-2022</t>
        </is>
      </c>
      <c r="B296" s="1" t="n">
        <v>44595</v>
      </c>
      <c r="C296" s="1" t="n">
        <v>45799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5773-2022</t>
        </is>
      </c>
      <c r="B297" s="1" t="n">
        <v>44596</v>
      </c>
      <c r="C297" s="1" t="n">
        <v>45799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6842-2022</t>
        </is>
      </c>
      <c r="B298" s="1" t="n">
        <v>44602</v>
      </c>
      <c r="C298" s="1" t="n">
        <v>45799</v>
      </c>
      <c r="D298" t="inlineStr">
        <is>
          <t>ÖREBRO LÄN</t>
        </is>
      </c>
      <c r="E298" t="inlineStr">
        <is>
          <t>LAXÅ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7846-2022</t>
        </is>
      </c>
      <c r="B299" s="1" t="n">
        <v>44608</v>
      </c>
      <c r="C299" s="1" t="n">
        <v>45799</v>
      </c>
      <c r="D299" t="inlineStr">
        <is>
          <t>ÖREBRO LÄN</t>
        </is>
      </c>
      <c r="E299" t="inlineStr">
        <is>
          <t>LAXÅ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8898-2022</t>
        </is>
      </c>
      <c r="B300" s="1" t="n">
        <v>44614</v>
      </c>
      <c r="C300" s="1" t="n">
        <v>45799</v>
      </c>
      <c r="D300" t="inlineStr">
        <is>
          <t>ÖREBRO LÄN</t>
        </is>
      </c>
      <c r="E300" t="inlineStr">
        <is>
          <t>LAXÅ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9665-2022</t>
        </is>
      </c>
      <c r="B301" s="1" t="n">
        <v>44617</v>
      </c>
      <c r="C301" s="1" t="n">
        <v>45799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10069-2022</t>
        </is>
      </c>
      <c r="B302" s="1" t="n">
        <v>44621</v>
      </c>
      <c r="C302" s="1" t="n">
        <v>45799</v>
      </c>
      <c r="D302" t="inlineStr">
        <is>
          <t>ÖREBRO LÄN</t>
        </is>
      </c>
      <c r="E302" t="inlineStr">
        <is>
          <t>LAXÅ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10041-2022</t>
        </is>
      </c>
      <c r="B303" s="1" t="n">
        <v>44621</v>
      </c>
      <c r="C303" s="1" t="n">
        <v>45799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13078-2022</t>
        </is>
      </c>
      <c r="B304" s="1" t="n">
        <v>44643</v>
      </c>
      <c r="C304" s="1" t="n">
        <v>45799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15488-2022</t>
        </is>
      </c>
      <c r="B305" s="1" t="n">
        <v>44662</v>
      </c>
      <c r="C305" s="1" t="n">
        <v>45799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15490-2022</t>
        </is>
      </c>
      <c r="B306" s="1" t="n">
        <v>44662</v>
      </c>
      <c r="C306" s="1" t="n">
        <v>45799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15502-2022</t>
        </is>
      </c>
      <c r="B307" s="1" t="n">
        <v>44662</v>
      </c>
      <c r="C307" s="1" t="n">
        <v>45799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15489-2022</t>
        </is>
      </c>
      <c r="B308" s="1" t="n">
        <v>44662</v>
      </c>
      <c r="C308" s="1" t="n">
        <v>45799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15491-2022</t>
        </is>
      </c>
      <c r="B309" s="1" t="n">
        <v>44662</v>
      </c>
      <c r="C309" s="1" t="n">
        <v>45799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15504-2022</t>
        </is>
      </c>
      <c r="B310" s="1" t="n">
        <v>44662</v>
      </c>
      <c r="C310" s="1" t="n">
        <v>45799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15518-2022</t>
        </is>
      </c>
      <c r="B311" s="1" t="n">
        <v>44662</v>
      </c>
      <c r="C311" s="1" t="n">
        <v>45799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16044-2022</t>
        </is>
      </c>
      <c r="B312" s="1" t="n">
        <v>44665</v>
      </c>
      <c r="C312" s="1" t="n">
        <v>45799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16501-2022</t>
        </is>
      </c>
      <c r="B313" s="1" t="n">
        <v>44671</v>
      </c>
      <c r="C313" s="1" t="n">
        <v>45799</v>
      </c>
      <c r="D313" t="inlineStr">
        <is>
          <t>ÖREBRO LÄN</t>
        </is>
      </c>
      <c r="E313" t="inlineStr">
        <is>
          <t>LAXÅ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21764-2022</t>
        </is>
      </c>
      <c r="B314" s="1" t="n">
        <v>44708</v>
      </c>
      <c r="C314" s="1" t="n">
        <v>45799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25563-2022</t>
        </is>
      </c>
      <c r="B315" s="1" t="n">
        <v>44732</v>
      </c>
      <c r="C315" s="1" t="n">
        <v>45799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28115-2022</t>
        </is>
      </c>
      <c r="B316" s="1" t="n">
        <v>44746</v>
      </c>
      <c r="C316" s="1" t="n">
        <v>45799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28134-2022</t>
        </is>
      </c>
      <c r="B317" s="1" t="n">
        <v>44746</v>
      </c>
      <c r="C317" s="1" t="n">
        <v>45799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28139-2022</t>
        </is>
      </c>
      <c r="B318" s="1" t="n">
        <v>44746</v>
      </c>
      <c r="C318" s="1" t="n">
        <v>45799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28112-2022</t>
        </is>
      </c>
      <c r="B319" s="1" t="n">
        <v>44746</v>
      </c>
      <c r="C319" s="1" t="n">
        <v>45799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28119-2022</t>
        </is>
      </c>
      <c r="B320" s="1" t="n">
        <v>44746</v>
      </c>
      <c r="C320" s="1" t="n">
        <v>45799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28141-2022</t>
        </is>
      </c>
      <c r="B321" s="1" t="n">
        <v>44746</v>
      </c>
      <c r="C321" s="1" t="n">
        <v>45799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28137-2022</t>
        </is>
      </c>
      <c r="B322" s="1" t="n">
        <v>44746</v>
      </c>
      <c r="C322" s="1" t="n">
        <v>45799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28110-2022</t>
        </is>
      </c>
      <c r="B323" s="1" t="n">
        <v>44746</v>
      </c>
      <c r="C323" s="1" t="n">
        <v>45799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28116-2022</t>
        </is>
      </c>
      <c r="B324" s="1" t="n">
        <v>44746</v>
      </c>
      <c r="C324" s="1" t="n">
        <v>45799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28138-2022</t>
        </is>
      </c>
      <c r="B325" s="1" t="n">
        <v>44746</v>
      </c>
      <c r="C325" s="1" t="n">
        <v>45799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28140-2022</t>
        </is>
      </c>
      <c r="B326" s="1" t="n">
        <v>44746</v>
      </c>
      <c r="C326" s="1" t="n">
        <v>45799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28516-2022</t>
        </is>
      </c>
      <c r="B327" s="1" t="n">
        <v>44748</v>
      </c>
      <c r="C327" s="1" t="n">
        <v>45799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28518-2022</t>
        </is>
      </c>
      <c r="B328" s="1" t="n">
        <v>44748</v>
      </c>
      <c r="C328" s="1" t="n">
        <v>45799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28522-2022</t>
        </is>
      </c>
      <c r="B329" s="1" t="n">
        <v>44748</v>
      </c>
      <c r="C329" s="1" t="n">
        <v>45799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28517-2022</t>
        </is>
      </c>
      <c r="B330" s="1" t="n">
        <v>44748</v>
      </c>
      <c r="C330" s="1" t="n">
        <v>45799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28521-2022</t>
        </is>
      </c>
      <c r="B331" s="1" t="n">
        <v>44748</v>
      </c>
      <c r="C331" s="1" t="n">
        <v>45799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28524-2022</t>
        </is>
      </c>
      <c r="B332" s="1" t="n">
        <v>44748</v>
      </c>
      <c r="C332" s="1" t="n">
        <v>45799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33764-2022</t>
        </is>
      </c>
      <c r="B333" s="1" t="n">
        <v>44790</v>
      </c>
      <c r="C333" s="1" t="n">
        <v>45799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33774-2022</t>
        </is>
      </c>
      <c r="B334" s="1" t="n">
        <v>44790</v>
      </c>
      <c r="C334" s="1" t="n">
        <v>45799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45799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34481-2022</t>
        </is>
      </c>
      <c r="B336" s="1" t="n">
        <v>44792</v>
      </c>
      <c r="C336" s="1" t="n">
        <v>45799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34585-2022</t>
        </is>
      </c>
      <c r="B337" s="1" t="n">
        <v>44795</v>
      </c>
      <c r="C337" s="1" t="n">
        <v>45799</v>
      </c>
      <c r="D337" t="inlineStr">
        <is>
          <t>ÖREBRO LÄN</t>
        </is>
      </c>
      <c r="E337" t="inlineStr">
        <is>
          <t>LAXÅ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45799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34736-2022</t>
        </is>
      </c>
      <c r="B339" s="1" t="n">
        <v>44795</v>
      </c>
      <c r="C339" s="1" t="n">
        <v>45799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45799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35613-2022</t>
        </is>
      </c>
      <c r="B341" s="1" t="n">
        <v>44799</v>
      </c>
      <c r="C341" s="1" t="n">
        <v>45799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35792-2022</t>
        </is>
      </c>
      <c r="B342" s="1" t="n">
        <v>44801</v>
      </c>
      <c r="C342" s="1" t="n">
        <v>45799</v>
      </c>
      <c r="D342" t="inlineStr">
        <is>
          <t>ÖREBRO LÄN</t>
        </is>
      </c>
      <c r="E342" t="inlineStr">
        <is>
          <t>LAXÅ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35996-2022</t>
        </is>
      </c>
      <c r="B343" s="1" t="n">
        <v>44802</v>
      </c>
      <c r="C343" s="1" t="n">
        <v>45799</v>
      </c>
      <c r="D343" t="inlineStr">
        <is>
          <t>ÖREBRO LÄN</t>
        </is>
      </c>
      <c r="E343" t="inlineStr">
        <is>
          <t>LAXÅ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36348-2022</t>
        </is>
      </c>
      <c r="B344" s="1" t="n">
        <v>44803</v>
      </c>
      <c r="C344" s="1" t="n">
        <v>45799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36349-2022</t>
        </is>
      </c>
      <c r="B345" s="1" t="n">
        <v>44803</v>
      </c>
      <c r="C345" s="1" t="n">
        <v>45799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36346-2022</t>
        </is>
      </c>
      <c r="B346" s="1" t="n">
        <v>44803</v>
      </c>
      <c r="C346" s="1" t="n">
        <v>45799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36351-2022</t>
        </is>
      </c>
      <c r="B347" s="1" t="n">
        <v>44803</v>
      </c>
      <c r="C347" s="1" t="n">
        <v>45799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36350-2022</t>
        </is>
      </c>
      <c r="B348" s="1" t="n">
        <v>44803</v>
      </c>
      <c r="C348" s="1" t="n">
        <v>45799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36520-2022</t>
        </is>
      </c>
      <c r="B349" s="1" t="n">
        <v>44804</v>
      </c>
      <c r="C349" s="1" t="n">
        <v>45799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37146-2022</t>
        </is>
      </c>
      <c r="B350" s="1" t="n">
        <v>44805</v>
      </c>
      <c r="C350" s="1" t="n">
        <v>45799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37137-2022</t>
        </is>
      </c>
      <c r="B351" s="1" t="n">
        <v>44805</v>
      </c>
      <c r="C351" s="1" t="n">
        <v>45799</v>
      </c>
      <c r="D351" t="inlineStr">
        <is>
          <t>ÖREBRO LÄN</t>
        </is>
      </c>
      <c r="E351" t="inlineStr">
        <is>
          <t>LAXÅ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38549-2022</t>
        </is>
      </c>
      <c r="B352" s="1" t="n">
        <v>44813</v>
      </c>
      <c r="C352" s="1" t="n">
        <v>45799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38559-2022</t>
        </is>
      </c>
      <c r="B353" s="1" t="n">
        <v>44813</v>
      </c>
      <c r="C353" s="1" t="n">
        <v>45799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38539-2022</t>
        </is>
      </c>
      <c r="B354" s="1" t="n">
        <v>44813</v>
      </c>
      <c r="C354" s="1" t="n">
        <v>45799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38554-2022</t>
        </is>
      </c>
      <c r="B355" s="1" t="n">
        <v>44813</v>
      </c>
      <c r="C355" s="1" t="n">
        <v>45799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38564-2022</t>
        </is>
      </c>
      <c r="B356" s="1" t="n">
        <v>44813</v>
      </c>
      <c r="C356" s="1" t="n">
        <v>45799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38547-2022</t>
        </is>
      </c>
      <c r="B357" s="1" t="n">
        <v>44813</v>
      </c>
      <c r="C357" s="1" t="n">
        <v>45799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38551-2022</t>
        </is>
      </c>
      <c r="B358" s="1" t="n">
        <v>44813</v>
      </c>
      <c r="C358" s="1" t="n">
        <v>45799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38561-2022</t>
        </is>
      </c>
      <c r="B359" s="1" t="n">
        <v>44813</v>
      </c>
      <c r="C359" s="1" t="n">
        <v>45799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40960-2022</t>
        </is>
      </c>
      <c r="B360" s="1" t="n">
        <v>44825</v>
      </c>
      <c r="C360" s="1" t="n">
        <v>45799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40953-2022</t>
        </is>
      </c>
      <c r="B361" s="1" t="n">
        <v>44825</v>
      </c>
      <c r="C361" s="1" t="n">
        <v>45799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40952-2022</t>
        </is>
      </c>
      <c r="B362" s="1" t="n">
        <v>44825</v>
      </c>
      <c r="C362" s="1" t="n">
        <v>45799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42095-2022</t>
        </is>
      </c>
      <c r="B363" s="1" t="n">
        <v>44830</v>
      </c>
      <c r="C363" s="1" t="n">
        <v>45799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43500-2022</t>
        </is>
      </c>
      <c r="B364" s="1" t="n">
        <v>44837</v>
      </c>
      <c r="C364" s="1" t="n">
        <v>45799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45014-2022</t>
        </is>
      </c>
      <c r="B365" s="1" t="n">
        <v>44841</v>
      </c>
      <c r="C365" s="1" t="n">
        <v>45799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46265-2022</t>
        </is>
      </c>
      <c r="B366" s="1" t="n">
        <v>44847</v>
      </c>
      <c r="C366" s="1" t="n">
        <v>45799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46269-2022</t>
        </is>
      </c>
      <c r="B367" s="1" t="n">
        <v>44847</v>
      </c>
      <c r="C367" s="1" t="n">
        <v>45799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46268-2022</t>
        </is>
      </c>
      <c r="B368" s="1" t="n">
        <v>44847</v>
      </c>
      <c r="C368" s="1" t="n">
        <v>45799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50753-2022</t>
        </is>
      </c>
      <c r="B369" s="1" t="n">
        <v>44867</v>
      </c>
      <c r="C369" s="1" t="n">
        <v>45799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50770-2022</t>
        </is>
      </c>
      <c r="B370" s="1" t="n">
        <v>44867</v>
      </c>
      <c r="C370" s="1" t="n">
        <v>45799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50749-2022</t>
        </is>
      </c>
      <c r="B371" s="1" t="n">
        <v>44867</v>
      </c>
      <c r="C371" s="1" t="n">
        <v>45799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50750-2022</t>
        </is>
      </c>
      <c r="B372" s="1" t="n">
        <v>44867</v>
      </c>
      <c r="C372" s="1" t="n">
        <v>45799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50765-2022</t>
        </is>
      </c>
      <c r="B373" s="1" t="n">
        <v>44867</v>
      </c>
      <c r="C373" s="1" t="n">
        <v>45799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50754-2022</t>
        </is>
      </c>
      <c r="B374" s="1" t="n">
        <v>44867</v>
      </c>
      <c r="C374" s="1" t="n">
        <v>45799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50772-2022</t>
        </is>
      </c>
      <c r="B375" s="1" t="n">
        <v>44867</v>
      </c>
      <c r="C375" s="1" t="n">
        <v>45799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51681-2022</t>
        </is>
      </c>
      <c r="B376" s="1" t="n">
        <v>44872</v>
      </c>
      <c r="C376" s="1" t="n">
        <v>45799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51719-2022</t>
        </is>
      </c>
      <c r="B377" s="1" t="n">
        <v>44872</v>
      </c>
      <c r="C377" s="1" t="n">
        <v>45799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51728-2022</t>
        </is>
      </c>
      <c r="B378" s="1" t="n">
        <v>44872</v>
      </c>
      <c r="C378" s="1" t="n">
        <v>45799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51809-2022</t>
        </is>
      </c>
      <c r="B379" s="1" t="n">
        <v>44872</v>
      </c>
      <c r="C379" s="1" t="n">
        <v>45799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51818-2022</t>
        </is>
      </c>
      <c r="B380" s="1" t="n">
        <v>44872</v>
      </c>
      <c r="C380" s="1" t="n">
        <v>45799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51676-2022</t>
        </is>
      </c>
      <c r="B381" s="1" t="n">
        <v>44872</v>
      </c>
      <c r="C381" s="1" t="n">
        <v>45799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51697-2022</t>
        </is>
      </c>
      <c r="B382" s="1" t="n">
        <v>44872</v>
      </c>
      <c r="C382" s="1" t="n">
        <v>45799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51677-2022</t>
        </is>
      </c>
      <c r="B383" s="1" t="n">
        <v>44872</v>
      </c>
      <c r="C383" s="1" t="n">
        <v>45799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51714-2022</t>
        </is>
      </c>
      <c r="B384" s="1" t="n">
        <v>44872</v>
      </c>
      <c r="C384" s="1" t="n">
        <v>45799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51698-2022</t>
        </is>
      </c>
      <c r="B385" s="1" t="n">
        <v>44872</v>
      </c>
      <c r="C385" s="1" t="n">
        <v>45799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51715-2022</t>
        </is>
      </c>
      <c r="B386" s="1" t="n">
        <v>44872</v>
      </c>
      <c r="C386" s="1" t="n">
        <v>45799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51725-2022</t>
        </is>
      </c>
      <c r="B387" s="1" t="n">
        <v>44872</v>
      </c>
      <c r="C387" s="1" t="n">
        <v>45799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51731-2022</t>
        </is>
      </c>
      <c r="B388" s="1" t="n">
        <v>44872</v>
      </c>
      <c r="C388" s="1" t="n">
        <v>45799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51821-2022</t>
        </is>
      </c>
      <c r="B389" s="1" t="n">
        <v>44872</v>
      </c>
      <c r="C389" s="1" t="n">
        <v>45799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51679-2022</t>
        </is>
      </c>
      <c r="B390" s="1" t="n">
        <v>44872</v>
      </c>
      <c r="C390" s="1" t="n">
        <v>45799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51695-2022</t>
        </is>
      </c>
      <c r="B391" s="1" t="n">
        <v>44872</v>
      </c>
      <c r="C391" s="1" t="n">
        <v>45799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51716-2022</t>
        </is>
      </c>
      <c r="B392" s="1" t="n">
        <v>44872</v>
      </c>
      <c r="C392" s="1" t="n">
        <v>45799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51822-2022</t>
        </is>
      </c>
      <c r="B393" s="1" t="n">
        <v>44872</v>
      </c>
      <c r="C393" s="1" t="n">
        <v>45799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51828-2022</t>
        </is>
      </c>
      <c r="B394" s="1" t="n">
        <v>44872</v>
      </c>
      <c r="C394" s="1" t="n">
        <v>45799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51823-2022</t>
        </is>
      </c>
      <c r="B395" s="1" t="n">
        <v>44872</v>
      </c>
      <c r="C395" s="1" t="n">
        <v>45799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52461-2022</t>
        </is>
      </c>
      <c r="B396" s="1" t="n">
        <v>44874</v>
      </c>
      <c r="C396" s="1" t="n">
        <v>45799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52442-2022</t>
        </is>
      </c>
      <c r="B397" s="1" t="n">
        <v>44874</v>
      </c>
      <c r="C397" s="1" t="n">
        <v>45799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52460-2022</t>
        </is>
      </c>
      <c r="B398" s="1" t="n">
        <v>44874</v>
      </c>
      <c r="C398" s="1" t="n">
        <v>45799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54411-2022</t>
        </is>
      </c>
      <c r="B399" s="1" t="n">
        <v>44879</v>
      </c>
      <c r="C399" s="1" t="n">
        <v>45799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54107-2022</t>
        </is>
      </c>
      <c r="B400" s="1" t="n">
        <v>44881</v>
      </c>
      <c r="C400" s="1" t="n">
        <v>45799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54291-2022</t>
        </is>
      </c>
      <c r="B401" s="1" t="n">
        <v>44882</v>
      </c>
      <c r="C401" s="1" t="n">
        <v>45799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54300-2022</t>
        </is>
      </c>
      <c r="B402" s="1" t="n">
        <v>44882</v>
      </c>
      <c r="C402" s="1" t="n">
        <v>45799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54304-2022</t>
        </is>
      </c>
      <c r="B403" s="1" t="n">
        <v>44882</v>
      </c>
      <c r="C403" s="1" t="n">
        <v>45799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54295-2022</t>
        </is>
      </c>
      <c r="B404" s="1" t="n">
        <v>44882</v>
      </c>
      <c r="C404" s="1" t="n">
        <v>45799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54299-2022</t>
        </is>
      </c>
      <c r="B405" s="1" t="n">
        <v>44882</v>
      </c>
      <c r="C405" s="1" t="n">
        <v>45799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54294-2022</t>
        </is>
      </c>
      <c r="B406" s="1" t="n">
        <v>44882</v>
      </c>
      <c r="C406" s="1" t="n">
        <v>45799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54292-2022</t>
        </is>
      </c>
      <c r="B407" s="1" t="n">
        <v>44882</v>
      </c>
      <c r="C407" s="1" t="n">
        <v>45799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54330-2022</t>
        </is>
      </c>
      <c r="B408" s="1" t="n">
        <v>44882</v>
      </c>
      <c r="C408" s="1" t="n">
        <v>45799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54303-2022</t>
        </is>
      </c>
      <c r="B409" s="1" t="n">
        <v>44882</v>
      </c>
      <c r="C409" s="1" t="n">
        <v>45799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54328-2022</t>
        </is>
      </c>
      <c r="B410" s="1" t="n">
        <v>44882</v>
      </c>
      <c r="C410" s="1" t="n">
        <v>45799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54327-2022</t>
        </is>
      </c>
      <c r="B411" s="1" t="n">
        <v>44882</v>
      </c>
      <c r="C411" s="1" t="n">
        <v>45799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56135-2022</t>
        </is>
      </c>
      <c r="B412" s="1" t="n">
        <v>44886</v>
      </c>
      <c r="C412" s="1" t="n">
        <v>45799</v>
      </c>
      <c r="D412" t="inlineStr">
        <is>
          <t>ÖREBRO LÄN</t>
        </is>
      </c>
      <c r="E412" t="inlineStr">
        <is>
          <t>LAXÅ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56134-2022</t>
        </is>
      </c>
      <c r="B413" s="1" t="n">
        <v>44889</v>
      </c>
      <c r="C413" s="1" t="n">
        <v>45799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56236-2022</t>
        </is>
      </c>
      <c r="B414" s="1" t="n">
        <v>44890</v>
      </c>
      <c r="C414" s="1" t="n">
        <v>45799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59228-2022</t>
        </is>
      </c>
      <c r="B415" s="1" t="n">
        <v>44896</v>
      </c>
      <c r="C415" s="1" t="n">
        <v>45799</v>
      </c>
      <c r="D415" t="inlineStr">
        <is>
          <t>ÖREBRO LÄN</t>
        </is>
      </c>
      <c r="E415" t="inlineStr">
        <is>
          <t>LAXÅ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57613-2022</t>
        </is>
      </c>
      <c r="B416" s="1" t="n">
        <v>44897</v>
      </c>
      <c r="C416" s="1" t="n">
        <v>45799</v>
      </c>
      <c r="D416" t="inlineStr">
        <is>
          <t>ÖREBRO LÄN</t>
        </is>
      </c>
      <c r="E416" t="inlineStr">
        <is>
          <t>LAXÅ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57749-2022</t>
        </is>
      </c>
      <c r="B417" s="1" t="n">
        <v>44897</v>
      </c>
      <c r="C417" s="1" t="n">
        <v>45799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57753-2022</t>
        </is>
      </c>
      <c r="B418" s="1" t="n">
        <v>44897</v>
      </c>
      <c r="C418" s="1" t="n">
        <v>45799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57747-2022</t>
        </is>
      </c>
      <c r="B419" s="1" t="n">
        <v>44897</v>
      </c>
      <c r="C419" s="1" t="n">
        <v>45799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57751-2022</t>
        </is>
      </c>
      <c r="B420" s="1" t="n">
        <v>44897</v>
      </c>
      <c r="C420" s="1" t="n">
        <v>45799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57756-2022</t>
        </is>
      </c>
      <c r="B421" s="1" t="n">
        <v>44897</v>
      </c>
      <c r="C421" s="1" t="n">
        <v>45799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58978-2022</t>
        </is>
      </c>
      <c r="B422" s="1" t="n">
        <v>44903</v>
      </c>
      <c r="C422" s="1" t="n">
        <v>45799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58977-2022</t>
        </is>
      </c>
      <c r="B423" s="1" t="n">
        <v>44903</v>
      </c>
      <c r="C423" s="1" t="n">
        <v>45799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59455-2022</t>
        </is>
      </c>
      <c r="B424" s="1" t="n">
        <v>44907</v>
      </c>
      <c r="C424" s="1" t="n">
        <v>45799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59454-2022</t>
        </is>
      </c>
      <c r="B425" s="1" t="n">
        <v>44907</v>
      </c>
      <c r="C425" s="1" t="n">
        <v>45799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59457-2022</t>
        </is>
      </c>
      <c r="B426" s="1" t="n">
        <v>44907</v>
      </c>
      <c r="C426" s="1" t="n">
        <v>45799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59453-2022</t>
        </is>
      </c>
      <c r="B427" s="1" t="n">
        <v>44907</v>
      </c>
      <c r="C427" s="1" t="n">
        <v>45799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59657-2022</t>
        </is>
      </c>
      <c r="B428" s="1" t="n">
        <v>44908</v>
      </c>
      <c r="C428" s="1" t="n">
        <v>45799</v>
      </c>
      <c r="D428" t="inlineStr">
        <is>
          <t>ÖREBRO LÄN</t>
        </is>
      </c>
      <c r="E428" t="inlineStr">
        <is>
          <t>LAXÅ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45799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45799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45799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45799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45799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45799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45799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45799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45799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45799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45799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45799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45799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45799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45799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45799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45799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45799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45799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45799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45799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45799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45799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45799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45799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45799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45799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45799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45799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45799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45799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45799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45799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45799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45799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45799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45799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45799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45799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45799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45799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45799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45799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45799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45799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45799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45799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45799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45799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45799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45799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45799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45799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45799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45799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45799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45799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45799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45799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45799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45799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45799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45799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45799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45799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45799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45799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45799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45799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45799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45799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45799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45799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45799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45799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45799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45799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45799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45799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45799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45799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45799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45799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45799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45799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45799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45799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45799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45799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45799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45799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45799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45799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45799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45799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45799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45799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45799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45799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45799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45799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45799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45799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45799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45799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45799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45799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45799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45799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45799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45799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45799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45799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45799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45799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45799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45799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45799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45799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45799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45799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45799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45799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45799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45799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45799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45799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45799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45799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45799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45799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45799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45799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45799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45799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45799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45799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45799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45799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45799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45799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45799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45799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45799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45799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45799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45799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45799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45799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45799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45799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45799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45799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45799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45799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45799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45799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45799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45799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45799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45799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45799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45799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45799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45799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45799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45799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45799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45799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45799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45799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45799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45799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45799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45799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45799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45799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45799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45799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45799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45799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45799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45799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45799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45799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45799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45799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45799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45799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45799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45799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45799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45799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45799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45799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45799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45799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45799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45799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45799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45799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45799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45799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45799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45799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45799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45799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45799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45799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45799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45799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45799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45799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45799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45799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45799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45799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45799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45799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45799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45799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45799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45799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45799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45799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45799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45799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45799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45799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45799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45799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45799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45799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45799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45799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45799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45799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45799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45799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45799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45799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45799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45799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45799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45799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45799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45799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45799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45799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45799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45799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45799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45799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45799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45799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45799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45799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45799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45799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45799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45799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45799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45799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45799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45799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45799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45799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45799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45799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45799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45799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45799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45799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45799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45799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45799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45799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45799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45799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45799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45799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45799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45799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45799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45799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45799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45799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45799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45799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45799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45799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45799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45799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45799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45799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45799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45799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45799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45799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45799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45799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45799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45799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45799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45799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45799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45799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45799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45799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45799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45799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45799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45799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45799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45799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45799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45799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45799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45799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45799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45799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45799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45799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45799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45799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45799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45799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45799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45799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45799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45799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45799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45799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45799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45799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45799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45799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45799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45799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45799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45799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45799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45799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45799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45799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45799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45799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45799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45799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45799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45799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45799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45799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45799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45799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45799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45799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45799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45799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45799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45799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45799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45799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45799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19807-2025</t>
        </is>
      </c>
      <c r="B793" s="1" t="n">
        <v>45771</v>
      </c>
      <c r="C793" s="1" t="n">
        <v>45799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19820-2025</t>
        </is>
      </c>
      <c r="B794" s="1" t="n">
        <v>45771</v>
      </c>
      <c r="C794" s="1" t="n">
        <v>45799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19835-2025</t>
        </is>
      </c>
      <c r="B795" s="1" t="n">
        <v>45771</v>
      </c>
      <c r="C795" s="1" t="n">
        <v>45799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45799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45799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45799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22381-2025</t>
        </is>
      </c>
      <c r="B799" s="1" t="n">
        <v>45786</v>
      </c>
      <c r="C799" s="1" t="n">
        <v>45799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45799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45799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23234-2025</t>
        </is>
      </c>
      <c r="B802" s="1" t="n">
        <v>45791</v>
      </c>
      <c r="C802" s="1" t="n">
        <v>45799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45799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23224-2025</t>
        </is>
      </c>
      <c r="B804" s="1" t="n">
        <v>45791</v>
      </c>
      <c r="C804" s="1" t="n">
        <v>45799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23238-2025</t>
        </is>
      </c>
      <c r="B805" s="1" t="n">
        <v>45791</v>
      </c>
      <c r="C805" s="1" t="n">
        <v>45799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2025-05-22T17:06:38Z</dcterms:created>
  <dcterms:modified xmlns:dcterms="http://purl.org/dc/terms/" xmlns:xsi="http://www.w3.org/2001/XMLSchema-instance" xsi:type="dcterms:W3CDTF">2025-05-22T17:06:38Z</dcterms:modified>
</cp:coreProperties>
</file>