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</v>
      </c>
      <c r="C2" s="1" t="n">
        <v>45509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0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Hållav
Motaggsvamp
Bronshjon
Kattfotslav
Kornknutmossa
Rostfläck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</row>
    <row r="3" ht="15" customHeight="1">
      <c r="A3" t="inlineStr">
        <is>
          <t>A 20507-2020</t>
        </is>
      </c>
      <c r="B3" s="1" t="n">
        <v>43948</v>
      </c>
      <c r="C3" s="1" t="n">
        <v>45509</v>
      </c>
      <c r="D3" t="inlineStr">
        <is>
          <t>ÖREBRO LÄN</t>
        </is>
      </c>
      <c r="E3" t="inlineStr">
        <is>
          <t>LAXÅ</t>
        </is>
      </c>
      <c r="F3" t="inlineStr">
        <is>
          <t>Allmännings- och besparingsskogar</t>
        </is>
      </c>
      <c r="G3" t="n">
        <v>7.6</v>
      </c>
      <c r="H3" t="n">
        <v>2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Bronshjon
Thomsons trägnagare
Vågbandad barkbock
Mattlummer
Revlummer</t>
        </is>
      </c>
      <c r="S3">
        <f>HYPERLINK("https://klasma.github.io/Logging_1860/artfynd/A 20507-2020 artfynd.xlsx", "A 20507-2020")</f>
        <v/>
      </c>
      <c r="T3">
        <f>HYPERLINK("https://klasma.github.io/Logging_1860/kartor/A 20507-2020 karta.png", "A 20507-2020")</f>
        <v/>
      </c>
      <c r="V3">
        <f>HYPERLINK("https://klasma.github.io/Logging_1860/klagomål/A 20507-2020 FSC-klagomål.docx", "A 20507-2020")</f>
        <v/>
      </c>
      <c r="W3">
        <f>HYPERLINK("https://klasma.github.io/Logging_1860/klagomålsmail/A 20507-2020 FSC-klagomål mail.docx", "A 20507-2020")</f>
        <v/>
      </c>
      <c r="X3">
        <f>HYPERLINK("https://klasma.github.io/Logging_1860/tillsyn/A 20507-2020 tillsynsbegäran.docx", "A 20507-2020")</f>
        <v/>
      </c>
      <c r="Y3">
        <f>HYPERLINK("https://klasma.github.io/Logging_1860/tillsynsmail/A 20507-2020 tillsynsbegäran mail.docx", "A 20507-2020")</f>
        <v/>
      </c>
    </row>
    <row r="4" ht="15" customHeight="1">
      <c r="A4" t="inlineStr">
        <is>
          <t>A 26879-2021</t>
        </is>
      </c>
      <c r="B4" s="1" t="n">
        <v>44349</v>
      </c>
      <c r="C4" s="1" t="n">
        <v>45509</v>
      </c>
      <c r="D4" t="inlineStr">
        <is>
          <t>ÖREBRO LÄN</t>
        </is>
      </c>
      <c r="E4" t="inlineStr">
        <is>
          <t>LAXÅ</t>
        </is>
      </c>
      <c r="G4" t="n">
        <v>13.9</v>
      </c>
      <c r="H4" t="n">
        <v>2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Knärot
Orange taggsvamp
Spillkråka
Blåmossa</t>
        </is>
      </c>
      <c r="S4">
        <f>HYPERLINK("https://klasma.github.io/Logging_1860/artfynd/A 26879-2021 artfynd.xlsx", "A 26879-2021")</f>
        <v/>
      </c>
      <c r="T4">
        <f>HYPERLINK("https://klasma.github.io/Logging_1860/kartor/A 26879-2021 karta.png", "A 26879-2021")</f>
        <v/>
      </c>
      <c r="U4">
        <f>HYPERLINK("https://klasma.github.io/Logging_1860/knärot/A 26879-2021 karta knärot.png", "A 26879-2021")</f>
        <v/>
      </c>
      <c r="V4">
        <f>HYPERLINK("https://klasma.github.io/Logging_1860/klagomål/A 26879-2021 FSC-klagomål.docx", "A 26879-2021")</f>
        <v/>
      </c>
      <c r="W4">
        <f>HYPERLINK("https://klasma.github.io/Logging_1860/klagomålsmail/A 26879-2021 FSC-klagomål mail.docx", "A 26879-2021")</f>
        <v/>
      </c>
      <c r="X4">
        <f>HYPERLINK("https://klasma.github.io/Logging_1860/tillsyn/A 26879-2021 tillsynsbegäran.docx", "A 26879-2021")</f>
        <v/>
      </c>
      <c r="Y4">
        <f>HYPERLINK("https://klasma.github.io/Logging_1860/tillsynsmail/A 26879-2021 tillsynsbegäran mail.docx", "A 26879-2021")</f>
        <v/>
      </c>
      <c r="Z4">
        <f>HYPERLINK("https://klasma.github.io/Logging_1860/fåglar/A 26879-2021 prioriterade fågelarter.docx", "A 26879-2021")</f>
        <v/>
      </c>
    </row>
    <row r="5" ht="15" customHeight="1">
      <c r="A5" t="inlineStr">
        <is>
          <t>A 28519-2022</t>
        </is>
      </c>
      <c r="B5" s="1" t="n">
        <v>44748</v>
      </c>
      <c r="C5" s="1" t="n">
        <v>45509</v>
      </c>
      <c r="D5" t="inlineStr">
        <is>
          <t>ÖREBRO LÄN</t>
        </is>
      </c>
      <c r="E5" t="inlineStr">
        <is>
          <t>LAXÅ</t>
        </is>
      </c>
      <c r="F5" t="inlineStr">
        <is>
          <t>Sveaskog</t>
        </is>
      </c>
      <c r="G5" t="n">
        <v>12.7</v>
      </c>
      <c r="H5" t="n">
        <v>2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Spillkråka
Talltita
Thomsons trägnagare
Vågbandad barkbock</t>
        </is>
      </c>
      <c r="S5">
        <f>HYPERLINK("https://klasma.github.io/Logging_1860/artfynd/A 28519-2022 artfynd.xlsx", "A 28519-2022")</f>
        <v/>
      </c>
      <c r="T5">
        <f>HYPERLINK("https://klasma.github.io/Logging_1860/kartor/A 28519-2022 karta.png", "A 28519-2022")</f>
        <v/>
      </c>
      <c r="V5">
        <f>HYPERLINK("https://klasma.github.io/Logging_1860/klagomål/A 28519-2022 FSC-klagomål.docx", "A 28519-2022")</f>
        <v/>
      </c>
      <c r="W5">
        <f>HYPERLINK("https://klasma.github.io/Logging_1860/klagomålsmail/A 28519-2022 FSC-klagomål mail.docx", "A 28519-2022")</f>
        <v/>
      </c>
      <c r="X5">
        <f>HYPERLINK("https://klasma.github.io/Logging_1860/tillsyn/A 28519-2022 tillsynsbegäran.docx", "A 28519-2022")</f>
        <v/>
      </c>
      <c r="Y5">
        <f>HYPERLINK("https://klasma.github.io/Logging_1860/tillsynsmail/A 28519-2022 tillsynsbegäran mail.docx", "A 28519-2022")</f>
        <v/>
      </c>
      <c r="Z5">
        <f>HYPERLINK("https://klasma.github.io/Logging_1860/fåglar/A 28519-2022 prioriterade fågelarter.docx", "A 28519-2022")</f>
        <v/>
      </c>
    </row>
    <row r="6" ht="15" customHeight="1">
      <c r="A6" t="inlineStr">
        <is>
          <t>A 50580-2022</t>
        </is>
      </c>
      <c r="B6" s="1" t="n">
        <v>44861</v>
      </c>
      <c r="C6" s="1" t="n">
        <v>45509</v>
      </c>
      <c r="D6" t="inlineStr">
        <is>
          <t>ÖREBRO LÄN</t>
        </is>
      </c>
      <c r="E6" t="inlineStr">
        <is>
          <t>LAXÅ</t>
        </is>
      </c>
      <c r="G6" t="n">
        <v>15.9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Blomkålssvamp
Dropptaggsvamp</t>
        </is>
      </c>
      <c r="S6">
        <f>HYPERLINK("https://klasma.github.io/Logging_1860/artfynd/A 50580-2022 artfynd.xlsx", "A 50580-2022")</f>
        <v/>
      </c>
      <c r="T6">
        <f>HYPERLINK("https://klasma.github.io/Logging_1860/kartor/A 50580-2022 karta.png", "A 50580-2022")</f>
        <v/>
      </c>
      <c r="V6">
        <f>HYPERLINK("https://klasma.github.io/Logging_1860/klagomål/A 50580-2022 FSC-klagomål.docx", "A 50580-2022")</f>
        <v/>
      </c>
      <c r="W6">
        <f>HYPERLINK("https://klasma.github.io/Logging_1860/klagomålsmail/A 50580-2022 FSC-klagomål mail.docx", "A 50580-2022")</f>
        <v/>
      </c>
      <c r="X6">
        <f>HYPERLINK("https://klasma.github.io/Logging_1860/tillsyn/A 50580-2022 tillsynsbegäran.docx", "A 50580-2022")</f>
        <v/>
      </c>
      <c r="Y6">
        <f>HYPERLINK("https://klasma.github.io/Logging_1860/tillsynsmail/A 50580-2022 tillsynsbegäran mail.docx", "A 50580-2022")</f>
        <v/>
      </c>
    </row>
    <row r="7" ht="15" customHeight="1">
      <c r="A7" t="inlineStr">
        <is>
          <t>A 55444-2019</t>
        </is>
      </c>
      <c r="B7" s="1" t="n">
        <v>43760</v>
      </c>
      <c r="C7" s="1" t="n">
        <v>45509</v>
      </c>
      <c r="D7" t="inlineStr">
        <is>
          <t>ÖREBRO LÄN</t>
        </is>
      </c>
      <c r="E7" t="inlineStr">
        <is>
          <t>LAXÅ</t>
        </is>
      </c>
      <c r="G7" t="n">
        <v>2.7</v>
      </c>
      <c r="H7" t="n">
        <v>2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 sköldmossa
Hårklomossa</t>
        </is>
      </c>
      <c r="S7">
        <f>HYPERLINK("https://klasma.github.io/Logging_1860/artfynd/A 55444-2019 artfynd.xlsx", "A 55444-2019")</f>
        <v/>
      </c>
      <c r="T7">
        <f>HYPERLINK("https://klasma.github.io/Logging_1860/kartor/A 55444-2019 karta.png", "A 55444-2019")</f>
        <v/>
      </c>
      <c r="V7">
        <f>HYPERLINK("https://klasma.github.io/Logging_1860/klagomål/A 55444-2019 FSC-klagomål.docx", "A 55444-2019")</f>
        <v/>
      </c>
      <c r="W7">
        <f>HYPERLINK("https://klasma.github.io/Logging_1860/klagomålsmail/A 55444-2019 FSC-klagomål mail.docx", "A 55444-2019")</f>
        <v/>
      </c>
      <c r="X7">
        <f>HYPERLINK("https://klasma.github.io/Logging_1860/tillsyn/A 55444-2019 tillsynsbegäran.docx", "A 55444-2019")</f>
        <v/>
      </c>
      <c r="Y7">
        <f>HYPERLINK("https://klasma.github.io/Logging_1860/tillsynsmail/A 55444-2019 tillsynsbegäran mail.docx", "A 55444-2019")</f>
        <v/>
      </c>
    </row>
    <row r="8" ht="15" customHeight="1">
      <c r="A8" t="inlineStr">
        <is>
          <t>A 11018-2022</t>
        </is>
      </c>
      <c r="B8" s="1" t="n">
        <v>44628</v>
      </c>
      <c r="C8" s="1" t="n">
        <v>45509</v>
      </c>
      <c r="D8" t="inlineStr">
        <is>
          <t>ÖREBRO LÄN</t>
        </is>
      </c>
      <c r="E8" t="inlineStr">
        <is>
          <t>LAXÅ</t>
        </is>
      </c>
      <c r="G8" t="n">
        <v>9.300000000000001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Västlig hakmossa</t>
        </is>
      </c>
      <c r="S8">
        <f>HYPERLINK("https://klasma.github.io/Logging_1860/artfynd/A 11018-2022 artfynd.xlsx", "A 11018-2022")</f>
        <v/>
      </c>
      <c r="T8">
        <f>HYPERLINK("https://klasma.github.io/Logging_1860/kartor/A 11018-2022 karta.png", "A 11018-2022")</f>
        <v/>
      </c>
      <c r="V8">
        <f>HYPERLINK("https://klasma.github.io/Logging_1860/klagomål/A 11018-2022 FSC-klagomål.docx", "A 11018-2022")</f>
        <v/>
      </c>
      <c r="W8">
        <f>HYPERLINK("https://klasma.github.io/Logging_1860/klagomålsmail/A 11018-2022 FSC-klagomål mail.docx", "A 11018-2022")</f>
        <v/>
      </c>
      <c r="X8">
        <f>HYPERLINK("https://klasma.github.io/Logging_1860/tillsyn/A 11018-2022 tillsynsbegäran.docx", "A 11018-2022")</f>
        <v/>
      </c>
      <c r="Y8">
        <f>HYPERLINK("https://klasma.github.io/Logging_1860/tillsynsmail/A 11018-2022 tillsynsbegäran mail.docx", "A 11018-2022")</f>
        <v/>
      </c>
      <c r="Z8">
        <f>HYPERLINK("https://klasma.github.io/Logging_1860/fåglar/A 11018-2022 prioriterade fågelarter.docx", "A 11018-2022")</f>
        <v/>
      </c>
    </row>
    <row r="9" ht="15" customHeight="1">
      <c r="A9" t="inlineStr">
        <is>
          <t>A 11472-2023</t>
        </is>
      </c>
      <c r="B9" s="1" t="n">
        <v>44993</v>
      </c>
      <c r="C9" s="1" t="n">
        <v>45509</v>
      </c>
      <c r="D9" t="inlineStr">
        <is>
          <t>ÖREBRO LÄN</t>
        </is>
      </c>
      <c r="E9" t="inlineStr">
        <is>
          <t>LAXÅ</t>
        </is>
      </c>
      <c r="F9" t="inlineStr">
        <is>
          <t>Sveaskog</t>
        </is>
      </c>
      <c r="G9" t="n">
        <v>2.9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Motaggsvamp
Spillkråka</t>
        </is>
      </c>
      <c r="S9">
        <f>HYPERLINK("https://klasma.github.io/Logging_1860/artfynd/A 11472-2023 artfynd.xlsx", "A 11472-2023")</f>
        <v/>
      </c>
      <c r="T9">
        <f>HYPERLINK("https://klasma.github.io/Logging_1860/kartor/A 11472-2023 karta.png", "A 11472-2023")</f>
        <v/>
      </c>
      <c r="V9">
        <f>HYPERLINK("https://klasma.github.io/Logging_1860/klagomål/A 11472-2023 FSC-klagomål.docx", "A 11472-2023")</f>
        <v/>
      </c>
      <c r="W9">
        <f>HYPERLINK("https://klasma.github.io/Logging_1860/klagomålsmail/A 11472-2023 FSC-klagomål mail.docx", "A 11472-2023")</f>
        <v/>
      </c>
      <c r="X9">
        <f>HYPERLINK("https://klasma.github.io/Logging_1860/tillsyn/A 11472-2023 tillsynsbegäran.docx", "A 11472-2023")</f>
        <v/>
      </c>
      <c r="Y9">
        <f>HYPERLINK("https://klasma.github.io/Logging_1860/tillsynsmail/A 11472-2023 tillsynsbegäran mail.docx", "A 11472-2023")</f>
        <v/>
      </c>
      <c r="Z9">
        <f>HYPERLINK("https://klasma.github.io/Logging_1860/fåglar/A 11472-2023 prioriterade fågelarter.docx", "A 11472-2023")</f>
        <v/>
      </c>
    </row>
    <row r="10" ht="15" customHeight="1">
      <c r="A10" t="inlineStr">
        <is>
          <t>A 18391-2023</t>
        </is>
      </c>
      <c r="B10" s="1" t="n">
        <v>45042</v>
      </c>
      <c r="C10" s="1" t="n">
        <v>45509</v>
      </c>
      <c r="D10" t="inlineStr">
        <is>
          <t>ÖREBRO LÄN</t>
        </is>
      </c>
      <c r="E10" t="inlineStr">
        <is>
          <t>LAXÅ</t>
        </is>
      </c>
      <c r="F10" t="inlineStr">
        <is>
          <t>Sveaskog</t>
        </is>
      </c>
      <c r="G10" t="n">
        <v>19.1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Tjäder</t>
        </is>
      </c>
      <c r="S10">
        <f>HYPERLINK("https://klasma.github.io/Logging_1860/artfynd/A 18391-2023 artfynd.xlsx", "A 18391-2023")</f>
        <v/>
      </c>
      <c r="T10">
        <f>HYPERLINK("https://klasma.github.io/Logging_1860/kartor/A 18391-2023 karta.png", "A 18391-2023")</f>
        <v/>
      </c>
      <c r="V10">
        <f>HYPERLINK("https://klasma.github.io/Logging_1860/klagomål/A 18391-2023 FSC-klagomål.docx", "A 18391-2023")</f>
        <v/>
      </c>
      <c r="W10">
        <f>HYPERLINK("https://klasma.github.io/Logging_1860/klagomålsmail/A 18391-2023 FSC-klagomål mail.docx", "A 18391-2023")</f>
        <v/>
      </c>
      <c r="X10">
        <f>HYPERLINK("https://klasma.github.io/Logging_1860/tillsyn/A 18391-2023 tillsynsbegäran.docx", "A 18391-2023")</f>
        <v/>
      </c>
      <c r="Y10">
        <f>HYPERLINK("https://klasma.github.io/Logging_1860/tillsynsmail/A 18391-2023 tillsynsbegäran mail.docx", "A 18391-2023")</f>
        <v/>
      </c>
      <c r="Z10">
        <f>HYPERLINK("https://klasma.github.io/Logging_1860/fåglar/A 18391-2023 prioriterade fågelarter.docx", "A 18391-2023")</f>
        <v/>
      </c>
    </row>
    <row r="11" ht="15" customHeight="1">
      <c r="A11" t="inlineStr">
        <is>
          <t>A 48244-2019</t>
        </is>
      </c>
      <c r="B11" s="1" t="n">
        <v>43726</v>
      </c>
      <c r="C11" s="1" t="n">
        <v>45509</v>
      </c>
      <c r="D11" t="inlineStr">
        <is>
          <t>ÖREBRO LÄN</t>
        </is>
      </c>
      <c r="E11" t="inlineStr">
        <is>
          <t>LAXÅ</t>
        </is>
      </c>
      <c r="G11" t="n">
        <v>6.2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Dropptaggsvamp</t>
        </is>
      </c>
      <c r="S11">
        <f>HYPERLINK("https://klasma.github.io/Logging_1860/artfynd/A 48244-2019 artfynd.xlsx", "A 48244-2019")</f>
        <v/>
      </c>
      <c r="T11">
        <f>HYPERLINK("https://klasma.github.io/Logging_1860/kartor/A 48244-2019 karta.png", "A 48244-2019")</f>
        <v/>
      </c>
      <c r="V11">
        <f>HYPERLINK("https://klasma.github.io/Logging_1860/klagomål/A 48244-2019 FSC-klagomål.docx", "A 48244-2019")</f>
        <v/>
      </c>
      <c r="W11">
        <f>HYPERLINK("https://klasma.github.io/Logging_1860/klagomålsmail/A 48244-2019 FSC-klagomål mail.docx", "A 48244-2019")</f>
        <v/>
      </c>
      <c r="X11">
        <f>HYPERLINK("https://klasma.github.io/Logging_1860/tillsyn/A 48244-2019 tillsynsbegäran.docx", "A 48244-2019")</f>
        <v/>
      </c>
      <c r="Y11">
        <f>HYPERLINK("https://klasma.github.io/Logging_1860/tillsynsmail/A 48244-2019 tillsynsbegäran mail.docx", "A 48244-2019")</f>
        <v/>
      </c>
    </row>
    <row r="12" ht="15" customHeight="1">
      <c r="A12" t="inlineStr">
        <is>
          <t>A 21746-2020</t>
        </is>
      </c>
      <c r="B12" s="1" t="n">
        <v>43957</v>
      </c>
      <c r="C12" s="1" t="n">
        <v>45509</v>
      </c>
      <c r="D12" t="inlineStr">
        <is>
          <t>ÖREBRO LÄN</t>
        </is>
      </c>
      <c r="E12" t="inlineStr">
        <is>
          <t>LAXÅ</t>
        </is>
      </c>
      <c r="G12" t="n">
        <v>3.7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HYPERLINK("https://klasma.github.io/Logging_1860/artfynd/A 21746-2020 artfynd.xlsx", "A 21746-2020")</f>
        <v/>
      </c>
      <c r="T12">
        <f>HYPERLINK("https://klasma.github.io/Logging_1860/kartor/A 21746-2020 karta.png", "A 21746-2020")</f>
        <v/>
      </c>
      <c r="V12">
        <f>HYPERLINK("https://klasma.github.io/Logging_1860/klagomål/A 21746-2020 FSC-klagomål.docx", "A 21746-2020")</f>
        <v/>
      </c>
      <c r="W12">
        <f>HYPERLINK("https://klasma.github.io/Logging_1860/klagomålsmail/A 21746-2020 FSC-klagomål mail.docx", "A 21746-2020")</f>
        <v/>
      </c>
      <c r="X12">
        <f>HYPERLINK("https://klasma.github.io/Logging_1860/tillsyn/A 21746-2020 tillsynsbegäran.docx", "A 21746-2020")</f>
        <v/>
      </c>
      <c r="Y12">
        <f>HYPERLINK("https://klasma.github.io/Logging_1860/tillsynsmail/A 21746-2020 tillsynsbegäran mail.docx", "A 21746-2020")</f>
        <v/>
      </c>
    </row>
    <row r="13" ht="15" customHeight="1">
      <c r="A13" t="inlineStr">
        <is>
          <t>A 32030-2020</t>
        </is>
      </c>
      <c r="B13" s="1" t="n">
        <v>44015</v>
      </c>
      <c r="C13" s="1" t="n">
        <v>45509</v>
      </c>
      <c r="D13" t="inlineStr">
        <is>
          <t>ÖREBRO LÄN</t>
        </is>
      </c>
      <c r="E13" t="inlineStr">
        <is>
          <t>LAXÅ</t>
        </is>
      </c>
      <c r="F13" t="inlineStr">
        <is>
          <t>Sveaskog</t>
        </is>
      </c>
      <c r="G13" t="n">
        <v>1.9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HYPERLINK("https://klasma.github.io/Logging_1860/artfynd/A 32030-2020 artfynd.xlsx", "A 32030-2020")</f>
        <v/>
      </c>
      <c r="T13">
        <f>HYPERLINK("https://klasma.github.io/Logging_1860/kartor/A 32030-2020 karta.png", "A 32030-2020")</f>
        <v/>
      </c>
      <c r="V13">
        <f>HYPERLINK("https://klasma.github.io/Logging_1860/klagomål/A 32030-2020 FSC-klagomål.docx", "A 32030-2020")</f>
        <v/>
      </c>
      <c r="W13">
        <f>HYPERLINK("https://klasma.github.io/Logging_1860/klagomålsmail/A 32030-2020 FSC-klagomål mail.docx", "A 32030-2020")</f>
        <v/>
      </c>
      <c r="X13">
        <f>HYPERLINK("https://klasma.github.io/Logging_1860/tillsyn/A 32030-2020 tillsynsbegäran.docx", "A 32030-2020")</f>
        <v/>
      </c>
      <c r="Y13">
        <f>HYPERLINK("https://klasma.github.io/Logging_1860/tillsynsmail/A 32030-2020 tillsynsbegäran mail.docx", "A 32030-2020")</f>
        <v/>
      </c>
    </row>
    <row r="14" ht="15" customHeight="1">
      <c r="A14" t="inlineStr">
        <is>
          <t>A 57376-2021</t>
        </is>
      </c>
      <c r="B14" s="1" t="n">
        <v>44483</v>
      </c>
      <c r="C14" s="1" t="n">
        <v>45509</v>
      </c>
      <c r="D14" t="inlineStr">
        <is>
          <t>ÖREBRO LÄN</t>
        </is>
      </c>
      <c r="E14" t="inlineStr">
        <is>
          <t>LAXÅ</t>
        </is>
      </c>
      <c r="F14" t="inlineStr">
        <is>
          <t>Sveaskog</t>
        </is>
      </c>
      <c r="G14" t="n">
        <v>4.1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Mellanlummer</t>
        </is>
      </c>
      <c r="S14">
        <f>HYPERLINK("https://klasma.github.io/Logging_1860/artfynd/A 57376-2021 artfynd.xlsx", "A 57376-2021")</f>
        <v/>
      </c>
      <c r="T14">
        <f>HYPERLINK("https://klasma.github.io/Logging_1860/kartor/A 57376-2021 karta.png", "A 57376-2021")</f>
        <v/>
      </c>
      <c r="V14">
        <f>HYPERLINK("https://klasma.github.io/Logging_1860/klagomål/A 57376-2021 FSC-klagomål.docx", "A 57376-2021")</f>
        <v/>
      </c>
      <c r="W14">
        <f>HYPERLINK("https://klasma.github.io/Logging_1860/klagomålsmail/A 57376-2021 FSC-klagomål mail.docx", "A 57376-2021")</f>
        <v/>
      </c>
      <c r="X14">
        <f>HYPERLINK("https://klasma.github.io/Logging_1860/tillsyn/A 57376-2021 tillsynsbegäran.docx", "A 57376-2021")</f>
        <v/>
      </c>
      <c r="Y14">
        <f>HYPERLINK("https://klasma.github.io/Logging_1860/tillsynsmail/A 57376-2021 tillsynsbegäran mail.docx", "A 57376-2021")</f>
        <v/>
      </c>
    </row>
    <row r="15" ht="15" customHeight="1">
      <c r="A15" t="inlineStr">
        <is>
          <t>A 43742-2022</t>
        </is>
      </c>
      <c r="B15" s="1" t="n">
        <v>44837</v>
      </c>
      <c r="C15" s="1" t="n">
        <v>45509</v>
      </c>
      <c r="D15" t="inlineStr">
        <is>
          <t>ÖREBRO LÄN</t>
        </is>
      </c>
      <c r="E15" t="inlineStr">
        <is>
          <t>LAXÅ</t>
        </is>
      </c>
      <c r="G15" t="n">
        <v>16.8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Violettkantad guldvinge</t>
        </is>
      </c>
      <c r="S15">
        <f>HYPERLINK("https://klasma.github.io/Logging_1860/artfynd/A 43742-2022 artfynd.xlsx", "A 43742-2022")</f>
        <v/>
      </c>
      <c r="T15">
        <f>HYPERLINK("https://klasma.github.io/Logging_1860/kartor/A 43742-2022 karta.png", "A 43742-2022")</f>
        <v/>
      </c>
      <c r="V15">
        <f>HYPERLINK("https://klasma.github.io/Logging_1860/klagomål/A 43742-2022 FSC-klagomål.docx", "A 43742-2022")</f>
        <v/>
      </c>
      <c r="W15">
        <f>HYPERLINK("https://klasma.github.io/Logging_1860/klagomålsmail/A 43742-2022 FSC-klagomål mail.docx", "A 43742-2022")</f>
        <v/>
      </c>
      <c r="X15">
        <f>HYPERLINK("https://klasma.github.io/Logging_1860/tillsyn/A 43742-2022 tillsynsbegäran.docx", "A 43742-2022")</f>
        <v/>
      </c>
      <c r="Y15">
        <f>HYPERLINK("https://klasma.github.io/Logging_1860/tillsynsmail/A 43742-2022 tillsynsbegäran mail.docx", "A 43742-2022")</f>
        <v/>
      </c>
    </row>
    <row r="16" ht="15" customHeight="1">
      <c r="A16" t="inlineStr">
        <is>
          <t>A 43745-2022</t>
        </is>
      </c>
      <c r="B16" s="1" t="n">
        <v>44837</v>
      </c>
      <c r="C16" s="1" t="n">
        <v>45509</v>
      </c>
      <c r="D16" t="inlineStr">
        <is>
          <t>ÖREBRO LÄN</t>
        </is>
      </c>
      <c r="E16" t="inlineStr">
        <is>
          <t>LAXÅ</t>
        </is>
      </c>
      <c r="G16" t="n">
        <v>9.9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Nattviol</t>
        </is>
      </c>
      <c r="S16">
        <f>HYPERLINK("https://klasma.github.io/Logging_1860/artfynd/A 43745-2022 artfynd.xlsx", "A 43745-2022")</f>
        <v/>
      </c>
      <c r="T16">
        <f>HYPERLINK("https://klasma.github.io/Logging_1860/kartor/A 43745-2022 karta.png", "A 43745-2022")</f>
        <v/>
      </c>
      <c r="V16">
        <f>HYPERLINK("https://klasma.github.io/Logging_1860/klagomål/A 43745-2022 FSC-klagomål.docx", "A 43745-2022")</f>
        <v/>
      </c>
      <c r="W16">
        <f>HYPERLINK("https://klasma.github.io/Logging_1860/klagomålsmail/A 43745-2022 FSC-klagomål mail.docx", "A 43745-2022")</f>
        <v/>
      </c>
      <c r="X16">
        <f>HYPERLINK("https://klasma.github.io/Logging_1860/tillsyn/A 43745-2022 tillsynsbegäran.docx", "A 43745-2022")</f>
        <v/>
      </c>
      <c r="Y16">
        <f>HYPERLINK("https://klasma.github.io/Logging_1860/tillsynsmail/A 43745-2022 tillsynsbegäran mail.docx", "A 43745-2022")</f>
        <v/>
      </c>
    </row>
    <row r="17" ht="15" customHeight="1">
      <c r="A17" t="inlineStr">
        <is>
          <t>A 54301-2022</t>
        </is>
      </c>
      <c r="B17" s="1" t="n">
        <v>44882</v>
      </c>
      <c r="C17" s="1" t="n">
        <v>45509</v>
      </c>
      <c r="D17" t="inlineStr">
        <is>
          <t>ÖREBRO LÄN</t>
        </is>
      </c>
      <c r="E17" t="inlineStr">
        <is>
          <t>LAXÅ</t>
        </is>
      </c>
      <c r="F17" t="inlineStr">
        <is>
          <t>Sveaskog</t>
        </is>
      </c>
      <c r="G17" t="n">
        <v>6.2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HYPERLINK("https://klasma.github.io/Logging_1860/artfynd/A 54301-2022 artfynd.xlsx", "A 54301-2022")</f>
        <v/>
      </c>
      <c r="T17">
        <f>HYPERLINK("https://klasma.github.io/Logging_1860/kartor/A 54301-2022 karta.png", "A 54301-2022")</f>
        <v/>
      </c>
      <c r="V17">
        <f>HYPERLINK("https://klasma.github.io/Logging_1860/klagomål/A 54301-2022 FSC-klagomål.docx", "A 54301-2022")</f>
        <v/>
      </c>
      <c r="W17">
        <f>HYPERLINK("https://klasma.github.io/Logging_1860/klagomålsmail/A 54301-2022 FSC-klagomål mail.docx", "A 54301-2022")</f>
        <v/>
      </c>
      <c r="X17">
        <f>HYPERLINK("https://klasma.github.io/Logging_1860/tillsyn/A 54301-2022 tillsynsbegäran.docx", "A 54301-2022")</f>
        <v/>
      </c>
      <c r="Y17">
        <f>HYPERLINK("https://klasma.github.io/Logging_1860/tillsynsmail/A 54301-2022 tillsynsbegäran mail.docx", "A 54301-2022")</f>
        <v/>
      </c>
    </row>
    <row r="18" ht="15" customHeight="1">
      <c r="A18" t="inlineStr">
        <is>
          <t>A 58976-2022</t>
        </is>
      </c>
      <c r="B18" s="1" t="n">
        <v>44903</v>
      </c>
      <c r="C18" s="1" t="n">
        <v>45509</v>
      </c>
      <c r="D18" t="inlineStr">
        <is>
          <t>ÖREBRO LÄN</t>
        </is>
      </c>
      <c r="E18" t="inlineStr">
        <is>
          <t>LAXÅ</t>
        </is>
      </c>
      <c r="F18" t="inlineStr">
        <is>
          <t>Sveaskog</t>
        </is>
      </c>
      <c r="G18" t="n">
        <v>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HYPERLINK("https://klasma.github.io/Logging_1860/artfynd/A 58976-2022 artfynd.xlsx", "A 58976-2022")</f>
        <v/>
      </c>
      <c r="T18">
        <f>HYPERLINK("https://klasma.github.io/Logging_1860/kartor/A 58976-2022 karta.png", "A 58976-2022")</f>
        <v/>
      </c>
      <c r="V18">
        <f>HYPERLINK("https://klasma.github.io/Logging_1860/klagomål/A 58976-2022 FSC-klagomål.docx", "A 58976-2022")</f>
        <v/>
      </c>
      <c r="W18">
        <f>HYPERLINK("https://klasma.github.io/Logging_1860/klagomålsmail/A 58976-2022 FSC-klagomål mail.docx", "A 58976-2022")</f>
        <v/>
      </c>
      <c r="X18">
        <f>HYPERLINK("https://klasma.github.io/Logging_1860/tillsyn/A 58976-2022 tillsynsbegäran.docx", "A 58976-2022")</f>
        <v/>
      </c>
      <c r="Y18">
        <f>HYPERLINK("https://klasma.github.io/Logging_1860/tillsynsmail/A 58976-2022 tillsynsbegäran mail.docx", "A 58976-2022")</f>
        <v/>
      </c>
      <c r="Z18">
        <f>HYPERLINK("https://klasma.github.io/Logging_1860/fåglar/A 58976-2022 prioriterade fågelarter.docx", "A 58976-2022")</f>
        <v/>
      </c>
    </row>
    <row r="19" ht="15" customHeight="1">
      <c r="A19" t="inlineStr">
        <is>
          <t>A 35540-2023</t>
        </is>
      </c>
      <c r="B19" s="1" t="n">
        <v>45147</v>
      </c>
      <c r="C19" s="1" t="n">
        <v>45509</v>
      </c>
      <c r="D19" t="inlineStr">
        <is>
          <t>ÖREBRO LÄN</t>
        </is>
      </c>
      <c r="E19" t="inlineStr">
        <is>
          <t>LAXÅ</t>
        </is>
      </c>
      <c r="G19" t="n">
        <v>6.4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Vedticka</t>
        </is>
      </c>
      <c r="S19">
        <f>HYPERLINK("https://klasma.github.io/Logging_1860/artfynd/A 35540-2023 artfynd.xlsx", "A 35540-2023")</f>
        <v/>
      </c>
      <c r="T19">
        <f>HYPERLINK("https://klasma.github.io/Logging_1860/kartor/A 35540-2023 karta.png", "A 35540-2023")</f>
        <v/>
      </c>
      <c r="V19">
        <f>HYPERLINK("https://klasma.github.io/Logging_1860/klagomål/A 35540-2023 FSC-klagomål.docx", "A 35540-2023")</f>
        <v/>
      </c>
      <c r="W19">
        <f>HYPERLINK("https://klasma.github.io/Logging_1860/klagomålsmail/A 35540-2023 FSC-klagomål mail.docx", "A 35540-2023")</f>
        <v/>
      </c>
      <c r="X19">
        <f>HYPERLINK("https://klasma.github.io/Logging_1860/tillsyn/A 35540-2023 tillsynsbegäran.docx", "A 35540-2023")</f>
        <v/>
      </c>
      <c r="Y19">
        <f>HYPERLINK("https://klasma.github.io/Logging_1860/tillsynsmail/A 35540-2023 tillsynsbegäran mail.docx", "A 35540-2023")</f>
        <v/>
      </c>
    </row>
    <row r="20" ht="15" customHeight="1">
      <c r="A20" t="inlineStr">
        <is>
          <t>A 54809-2023</t>
        </is>
      </c>
      <c r="B20" s="1" t="n">
        <v>45236</v>
      </c>
      <c r="C20" s="1" t="n">
        <v>45509</v>
      </c>
      <c r="D20" t="inlineStr">
        <is>
          <t>ÖREBRO LÄN</t>
        </is>
      </c>
      <c r="E20" t="inlineStr">
        <is>
          <t>LAXÅ</t>
        </is>
      </c>
      <c r="F20" t="inlineStr">
        <is>
          <t>Sveaskog</t>
        </is>
      </c>
      <c r="G20" t="n">
        <v>2.6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Tretåig hackspett</t>
        </is>
      </c>
      <c r="S20">
        <f>HYPERLINK("https://klasma.github.io/Logging_1860/artfynd/A 54809-2023 artfynd.xlsx", "A 54809-2023")</f>
        <v/>
      </c>
      <c r="T20">
        <f>HYPERLINK("https://klasma.github.io/Logging_1860/kartor/A 54809-2023 karta.png", "A 54809-2023")</f>
        <v/>
      </c>
      <c r="V20">
        <f>HYPERLINK("https://klasma.github.io/Logging_1860/klagomål/A 54809-2023 FSC-klagomål.docx", "A 54809-2023")</f>
        <v/>
      </c>
      <c r="W20">
        <f>HYPERLINK("https://klasma.github.io/Logging_1860/klagomålsmail/A 54809-2023 FSC-klagomål mail.docx", "A 54809-2023")</f>
        <v/>
      </c>
      <c r="X20">
        <f>HYPERLINK("https://klasma.github.io/Logging_1860/tillsyn/A 54809-2023 tillsynsbegäran.docx", "A 54809-2023")</f>
        <v/>
      </c>
      <c r="Y20">
        <f>HYPERLINK("https://klasma.github.io/Logging_1860/tillsynsmail/A 54809-2023 tillsynsbegäran mail.docx", "A 54809-2023")</f>
        <v/>
      </c>
      <c r="Z20">
        <f>HYPERLINK("https://klasma.github.io/Logging_1860/fåglar/A 54809-2023 prioriterade fågelarter.docx", "A 54809-2023")</f>
        <v/>
      </c>
    </row>
    <row r="21" ht="15" customHeight="1">
      <c r="A21" t="inlineStr">
        <is>
          <t>A 60949-2023</t>
        </is>
      </c>
      <c r="B21" s="1" t="n">
        <v>45259</v>
      </c>
      <c r="C21" s="1" t="n">
        <v>45509</v>
      </c>
      <c r="D21" t="inlineStr">
        <is>
          <t>ÖREBRO LÄN</t>
        </is>
      </c>
      <c r="E21" t="inlineStr">
        <is>
          <t>LAXÅ</t>
        </is>
      </c>
      <c r="G21" t="n">
        <v>4.7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HYPERLINK("https://klasma.github.io/Logging_1860/artfynd/A 60949-2023 artfynd.xlsx", "A 60949-2023")</f>
        <v/>
      </c>
      <c r="T21">
        <f>HYPERLINK("https://klasma.github.io/Logging_1860/kartor/A 60949-2023 karta.png", "A 60949-2023")</f>
        <v/>
      </c>
      <c r="V21">
        <f>HYPERLINK("https://klasma.github.io/Logging_1860/klagomål/A 60949-2023 FSC-klagomål.docx", "A 60949-2023")</f>
        <v/>
      </c>
      <c r="W21">
        <f>HYPERLINK("https://klasma.github.io/Logging_1860/klagomålsmail/A 60949-2023 FSC-klagomål mail.docx", "A 60949-2023")</f>
        <v/>
      </c>
      <c r="X21">
        <f>HYPERLINK("https://klasma.github.io/Logging_1860/tillsyn/A 60949-2023 tillsynsbegäran.docx", "A 60949-2023")</f>
        <v/>
      </c>
      <c r="Y21">
        <f>HYPERLINK("https://klasma.github.io/Logging_1860/tillsynsmail/A 60949-2023 tillsynsbegäran mail.docx", "A 60949-2023")</f>
        <v/>
      </c>
    </row>
    <row r="22" ht="15" customHeight="1">
      <c r="A22" t="inlineStr">
        <is>
          <t>A 25872-2024</t>
        </is>
      </c>
      <c r="B22" s="1" t="n">
        <v>45467</v>
      </c>
      <c r="C22" s="1" t="n">
        <v>45509</v>
      </c>
      <c r="D22" t="inlineStr">
        <is>
          <t>ÖREBRO LÄN</t>
        </is>
      </c>
      <c r="E22" t="inlineStr">
        <is>
          <t>LAXÅ</t>
        </is>
      </c>
      <c r="F22" t="inlineStr">
        <is>
          <t>Sveaskog</t>
        </is>
      </c>
      <c r="G22" t="n">
        <v>5.6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HYPERLINK("https://klasma.github.io/Logging_1860/artfynd/A 25872-2024 artfynd.xlsx", "A 25872-2024")</f>
        <v/>
      </c>
      <c r="T22">
        <f>HYPERLINK("https://klasma.github.io/Logging_1860/kartor/A 25872-2024 karta.png", "A 25872-2024")</f>
        <v/>
      </c>
      <c r="V22">
        <f>HYPERLINK("https://klasma.github.io/Logging_1860/klagomål/A 25872-2024 FSC-klagomål.docx", "A 25872-2024")</f>
        <v/>
      </c>
      <c r="W22">
        <f>HYPERLINK("https://klasma.github.io/Logging_1860/klagomålsmail/A 25872-2024 FSC-klagomål mail.docx", "A 25872-2024")</f>
        <v/>
      </c>
      <c r="X22">
        <f>HYPERLINK("https://klasma.github.io/Logging_1860/tillsyn/A 25872-2024 tillsynsbegäran.docx", "A 25872-2024")</f>
        <v/>
      </c>
      <c r="Y22">
        <f>HYPERLINK("https://klasma.github.io/Logging_1860/tillsynsmail/A 25872-2024 tillsynsbegäran mail.docx", "A 25872-2024")</f>
        <v/>
      </c>
      <c r="Z22">
        <f>HYPERLINK("https://klasma.github.io/Logging_1860/fåglar/A 25872-2024 prioriterade fågelarter.docx", "A 25872-2024")</f>
        <v/>
      </c>
    </row>
    <row r="23" ht="15" customHeight="1">
      <c r="A23" t="inlineStr">
        <is>
          <t>A 26784-2024</t>
        </is>
      </c>
      <c r="B23" s="1" t="n">
        <v>45470</v>
      </c>
      <c r="C23" s="1" t="n">
        <v>45509</v>
      </c>
      <c r="D23" t="inlineStr">
        <is>
          <t>ÖREBRO LÄN</t>
        </is>
      </c>
      <c r="E23" t="inlineStr">
        <is>
          <t>LAXÅ</t>
        </is>
      </c>
      <c r="F23" t="inlineStr">
        <is>
          <t>Kyrkan</t>
        </is>
      </c>
      <c r="G23" t="n">
        <v>6.5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Violgubbe</t>
        </is>
      </c>
      <c r="S23">
        <f>HYPERLINK("https://klasma.github.io/Logging_1860/artfynd/A 26784-2024 artfynd.xlsx", "A 26784-2024")</f>
        <v/>
      </c>
      <c r="T23">
        <f>HYPERLINK("https://klasma.github.io/Logging_1860/kartor/A 26784-2024 karta.png", "A 26784-2024")</f>
        <v/>
      </c>
      <c r="V23">
        <f>HYPERLINK("https://klasma.github.io/Logging_1860/klagomål/A 26784-2024 FSC-klagomål.docx", "A 26784-2024")</f>
        <v/>
      </c>
      <c r="W23">
        <f>HYPERLINK("https://klasma.github.io/Logging_1860/klagomålsmail/A 26784-2024 FSC-klagomål mail.docx", "A 26784-2024")</f>
        <v/>
      </c>
      <c r="X23">
        <f>HYPERLINK("https://klasma.github.io/Logging_1860/tillsyn/A 26784-2024 tillsynsbegäran.docx", "A 26784-2024")</f>
        <v/>
      </c>
      <c r="Y23">
        <f>HYPERLINK("https://klasma.github.io/Logging_1860/tillsynsmail/A 26784-2024 tillsynsbegäran mail.docx", "A 26784-2024")</f>
        <v/>
      </c>
    </row>
    <row r="24" ht="15" customHeight="1">
      <c r="A24" t="inlineStr">
        <is>
          <t>A 31708-2019</t>
        </is>
      </c>
      <c r="B24" s="1" t="n">
        <v>43642</v>
      </c>
      <c r="C24" s="1" t="n">
        <v>45509</v>
      </c>
      <c r="D24" t="inlineStr">
        <is>
          <t>ÖREBRO LÄN</t>
        </is>
      </c>
      <c r="E24" t="inlineStr">
        <is>
          <t>LAXÅ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38228-2019</t>
        </is>
      </c>
      <c r="B25" s="1" t="n">
        <v>43684</v>
      </c>
      <c r="C25" s="1" t="n">
        <v>45509</v>
      </c>
      <c r="D25" t="inlineStr">
        <is>
          <t>ÖREBRO LÄN</t>
        </is>
      </c>
      <c r="E25" t="inlineStr">
        <is>
          <t>LAXÅ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41245-2019</t>
        </is>
      </c>
      <c r="B26" s="1" t="n">
        <v>43696</v>
      </c>
      <c r="C26" s="1" t="n">
        <v>45509</v>
      </c>
      <c r="D26" t="inlineStr">
        <is>
          <t>ÖREBRO LÄN</t>
        </is>
      </c>
      <c r="E26" t="inlineStr">
        <is>
          <t>LAXÅ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43442-2019</t>
        </is>
      </c>
      <c r="B27" s="1" t="n">
        <v>43704</v>
      </c>
      <c r="C27" s="1" t="n">
        <v>45509</v>
      </c>
      <c r="D27" t="inlineStr">
        <is>
          <t>ÖREBRO LÄN</t>
        </is>
      </c>
      <c r="E27" t="inlineStr">
        <is>
          <t>LAXÅ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49461-2019</t>
        </is>
      </c>
      <c r="B28" s="1" t="n">
        <v>43732</v>
      </c>
      <c r="C28" s="1" t="n">
        <v>45509</v>
      </c>
      <c r="D28" t="inlineStr">
        <is>
          <t>ÖREBRO LÄN</t>
        </is>
      </c>
      <c r="E28" t="inlineStr">
        <is>
          <t>LAXÅ</t>
        </is>
      </c>
      <c r="F28" t="inlineStr">
        <is>
          <t>Övriga statliga verk och myndigheter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51367-2019</t>
        </is>
      </c>
      <c r="B29" s="1" t="n">
        <v>43740</v>
      </c>
      <c r="C29" s="1" t="n">
        <v>45509</v>
      </c>
      <c r="D29" t="inlineStr">
        <is>
          <t>ÖREBRO LÄN</t>
        </is>
      </c>
      <c r="E29" t="inlineStr">
        <is>
          <t>LAXÅ</t>
        </is>
      </c>
      <c r="F29" t="inlineStr">
        <is>
          <t>Sveaskog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51385-2019</t>
        </is>
      </c>
      <c r="B30" s="1" t="n">
        <v>43740</v>
      </c>
      <c r="C30" s="1" t="n">
        <v>45509</v>
      </c>
      <c r="D30" t="inlineStr">
        <is>
          <t>ÖREBRO LÄN</t>
        </is>
      </c>
      <c r="E30" t="inlineStr">
        <is>
          <t>LAXÅ</t>
        </is>
      </c>
      <c r="F30" t="inlineStr">
        <is>
          <t>Sveaskog</t>
        </is>
      </c>
      <c r="G30" t="n">
        <v>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51564-2019</t>
        </is>
      </c>
      <c r="B31" s="1" t="n">
        <v>43740</v>
      </c>
      <c r="C31" s="1" t="n">
        <v>45509</v>
      </c>
      <c r="D31" t="inlineStr">
        <is>
          <t>ÖREBRO LÄN</t>
        </is>
      </c>
      <c r="E31" t="inlineStr">
        <is>
          <t>LAXÅ</t>
        </is>
      </c>
      <c r="F31" t="inlineStr">
        <is>
          <t>Sveaskog</t>
        </is>
      </c>
      <c r="G31" t="n">
        <v>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51576-2019</t>
        </is>
      </c>
      <c r="B32" s="1" t="n">
        <v>43740</v>
      </c>
      <c r="C32" s="1" t="n">
        <v>45509</v>
      </c>
      <c r="D32" t="inlineStr">
        <is>
          <t>ÖREBRO LÄN</t>
        </is>
      </c>
      <c r="E32" t="inlineStr">
        <is>
          <t>LAXÅ</t>
        </is>
      </c>
      <c r="F32" t="inlineStr">
        <is>
          <t>Sveaskog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51567-2019</t>
        </is>
      </c>
      <c r="B33" s="1" t="n">
        <v>43740</v>
      </c>
      <c r="C33" s="1" t="n">
        <v>45509</v>
      </c>
      <c r="D33" t="inlineStr">
        <is>
          <t>ÖREBRO LÄN</t>
        </is>
      </c>
      <c r="E33" t="inlineStr">
        <is>
          <t>LAXÅ</t>
        </is>
      </c>
      <c r="F33" t="inlineStr">
        <is>
          <t>Sveaskog</t>
        </is>
      </c>
      <c r="G33" t="n">
        <v>5.1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51386-2019</t>
        </is>
      </c>
      <c r="B34" s="1" t="n">
        <v>43740</v>
      </c>
      <c r="C34" s="1" t="n">
        <v>45509</v>
      </c>
      <c r="D34" t="inlineStr">
        <is>
          <t>ÖREBRO LÄN</t>
        </is>
      </c>
      <c r="E34" t="inlineStr">
        <is>
          <t>LAXÅ</t>
        </is>
      </c>
      <c r="F34" t="inlineStr">
        <is>
          <t>Sveaskog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54517-2019</t>
        </is>
      </c>
      <c r="B35" s="1" t="n">
        <v>43754</v>
      </c>
      <c r="C35" s="1" t="n">
        <v>45509</v>
      </c>
      <c r="D35" t="inlineStr">
        <is>
          <t>ÖREBRO LÄN</t>
        </is>
      </c>
      <c r="E35" t="inlineStr">
        <is>
          <t>LAXÅ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54717-2019</t>
        </is>
      </c>
      <c r="B36" s="1" t="n">
        <v>43755</v>
      </c>
      <c r="C36" s="1" t="n">
        <v>45509</v>
      </c>
      <c r="D36" t="inlineStr">
        <is>
          <t>ÖREBRO LÄN</t>
        </is>
      </c>
      <c r="E36" t="inlineStr">
        <is>
          <t>LAXÅ</t>
        </is>
      </c>
      <c r="F36" t="inlineStr">
        <is>
          <t>Sveaskog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54909-2019</t>
        </is>
      </c>
      <c r="B37" s="1" t="n">
        <v>43755</v>
      </c>
      <c r="C37" s="1" t="n">
        <v>45509</v>
      </c>
      <c r="D37" t="inlineStr">
        <is>
          <t>ÖREBRO LÄN</t>
        </is>
      </c>
      <c r="E37" t="inlineStr">
        <is>
          <t>LAXÅ</t>
        </is>
      </c>
      <c r="F37" t="inlineStr">
        <is>
          <t>Sveaskog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55091-2019</t>
        </is>
      </c>
      <c r="B38" s="1" t="n">
        <v>43756</v>
      </c>
      <c r="C38" s="1" t="n">
        <v>45509</v>
      </c>
      <c r="D38" t="inlineStr">
        <is>
          <t>ÖREBRO LÄN</t>
        </is>
      </c>
      <c r="E38" t="inlineStr">
        <is>
          <t>LAXÅ</t>
        </is>
      </c>
      <c r="F38" t="inlineStr">
        <is>
          <t>Sveaskog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55228-2019</t>
        </is>
      </c>
      <c r="B39" s="1" t="n">
        <v>43756</v>
      </c>
      <c r="C39" s="1" t="n">
        <v>45509</v>
      </c>
      <c r="D39" t="inlineStr">
        <is>
          <t>ÖREBRO LÄN</t>
        </is>
      </c>
      <c r="E39" t="inlineStr">
        <is>
          <t>LAXÅ</t>
        </is>
      </c>
      <c r="F39" t="inlineStr">
        <is>
          <t>Sveaskog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55257-2019</t>
        </is>
      </c>
      <c r="B40" s="1" t="n">
        <v>43756</v>
      </c>
      <c r="C40" s="1" t="n">
        <v>45509</v>
      </c>
      <c r="D40" t="inlineStr">
        <is>
          <t>ÖREBRO LÄN</t>
        </is>
      </c>
      <c r="E40" t="inlineStr">
        <is>
          <t>LAXÅ</t>
        </is>
      </c>
      <c r="F40" t="inlineStr">
        <is>
          <t>Sveaskog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55246-2019</t>
        </is>
      </c>
      <c r="B41" s="1" t="n">
        <v>43756</v>
      </c>
      <c r="C41" s="1" t="n">
        <v>45509</v>
      </c>
      <c r="D41" t="inlineStr">
        <is>
          <t>ÖREBRO LÄN</t>
        </is>
      </c>
      <c r="E41" t="inlineStr">
        <is>
          <t>LAXÅ</t>
        </is>
      </c>
      <c r="F41" t="inlineStr">
        <is>
          <t>Sveaskog</t>
        </is>
      </c>
      <c r="G41" t="n">
        <v>4.4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55262-2019</t>
        </is>
      </c>
      <c r="B42" s="1" t="n">
        <v>43756</v>
      </c>
      <c r="C42" s="1" t="n">
        <v>45509</v>
      </c>
      <c r="D42" t="inlineStr">
        <is>
          <t>ÖREBRO LÄN</t>
        </is>
      </c>
      <c r="E42" t="inlineStr">
        <is>
          <t>LAXÅ</t>
        </is>
      </c>
      <c r="F42" t="inlineStr">
        <is>
          <t>Sveaskog</t>
        </is>
      </c>
      <c r="G42" t="n">
        <v>4.3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55203-2019</t>
        </is>
      </c>
      <c r="B43" s="1" t="n">
        <v>43756</v>
      </c>
      <c r="C43" s="1" t="n">
        <v>45509</v>
      </c>
      <c r="D43" t="inlineStr">
        <is>
          <t>ÖREBRO LÄN</t>
        </is>
      </c>
      <c r="E43" t="inlineStr">
        <is>
          <t>LAXÅ</t>
        </is>
      </c>
      <c r="F43" t="inlineStr">
        <is>
          <t>Sveaskog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55250-2019</t>
        </is>
      </c>
      <c r="B44" s="1" t="n">
        <v>43756</v>
      </c>
      <c r="C44" s="1" t="n">
        <v>45509</v>
      </c>
      <c r="D44" t="inlineStr">
        <is>
          <t>ÖREBRO LÄN</t>
        </is>
      </c>
      <c r="E44" t="inlineStr">
        <is>
          <t>LAXÅ</t>
        </is>
      </c>
      <c r="F44" t="inlineStr">
        <is>
          <t>Sveaskog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55256-2019</t>
        </is>
      </c>
      <c r="B45" s="1" t="n">
        <v>43756</v>
      </c>
      <c r="C45" s="1" t="n">
        <v>45509</v>
      </c>
      <c r="D45" t="inlineStr">
        <is>
          <t>ÖREBRO LÄN</t>
        </is>
      </c>
      <c r="E45" t="inlineStr">
        <is>
          <t>LAXÅ</t>
        </is>
      </c>
      <c r="F45" t="inlineStr">
        <is>
          <t>Sveaskog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55204-2019</t>
        </is>
      </c>
      <c r="B46" s="1" t="n">
        <v>43756</v>
      </c>
      <c r="C46" s="1" t="n">
        <v>45509</v>
      </c>
      <c r="D46" t="inlineStr">
        <is>
          <t>ÖREBRO LÄN</t>
        </is>
      </c>
      <c r="E46" t="inlineStr">
        <is>
          <t>LAXÅ</t>
        </is>
      </c>
      <c r="F46" t="inlineStr">
        <is>
          <t>Sveaskog</t>
        </is>
      </c>
      <c r="G46" t="n">
        <v>5.6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55259-2019</t>
        </is>
      </c>
      <c r="B47" s="1" t="n">
        <v>43756</v>
      </c>
      <c r="C47" s="1" t="n">
        <v>45509</v>
      </c>
      <c r="D47" t="inlineStr">
        <is>
          <t>ÖREBRO LÄN</t>
        </is>
      </c>
      <c r="E47" t="inlineStr">
        <is>
          <t>LAXÅ</t>
        </is>
      </c>
      <c r="F47" t="inlineStr">
        <is>
          <t>Sveaskog</t>
        </is>
      </c>
      <c r="G47" t="n">
        <v>6.7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55207-2019</t>
        </is>
      </c>
      <c r="B48" s="1" t="n">
        <v>43756</v>
      </c>
      <c r="C48" s="1" t="n">
        <v>45509</v>
      </c>
      <c r="D48" t="inlineStr">
        <is>
          <t>ÖREBRO LÄN</t>
        </is>
      </c>
      <c r="E48" t="inlineStr">
        <is>
          <t>LAXÅ</t>
        </is>
      </c>
      <c r="F48" t="inlineStr">
        <is>
          <t>Sveaskog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55800-2019</t>
        </is>
      </c>
      <c r="B49" s="1" t="n">
        <v>43759</v>
      </c>
      <c r="C49" s="1" t="n">
        <v>45509</v>
      </c>
      <c r="D49" t="inlineStr">
        <is>
          <t>ÖREBRO LÄN</t>
        </is>
      </c>
      <c r="E49" t="inlineStr">
        <is>
          <t>LAXÅ</t>
        </is>
      </c>
      <c r="F49" t="inlineStr">
        <is>
          <t>Sveaskog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57309-2019</t>
        </is>
      </c>
      <c r="B50" s="1" t="n">
        <v>43760</v>
      </c>
      <c r="C50" s="1" t="n">
        <v>45509</v>
      </c>
      <c r="D50" t="inlineStr">
        <is>
          <t>ÖREBRO LÄN</t>
        </is>
      </c>
      <c r="E50" t="inlineStr">
        <is>
          <t>LAXÅ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57166-2019</t>
        </is>
      </c>
      <c r="B51" s="1" t="n">
        <v>43766</v>
      </c>
      <c r="C51" s="1" t="n">
        <v>45509</v>
      </c>
      <c r="D51" t="inlineStr">
        <is>
          <t>ÖREBRO LÄN</t>
        </is>
      </c>
      <c r="E51" t="inlineStr">
        <is>
          <t>LAXÅ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58193-2019</t>
        </is>
      </c>
      <c r="B52" s="1" t="n">
        <v>43770</v>
      </c>
      <c r="C52" s="1" t="n">
        <v>45509</v>
      </c>
      <c r="D52" t="inlineStr">
        <is>
          <t>ÖREBRO LÄN</t>
        </is>
      </c>
      <c r="E52" t="inlineStr">
        <is>
          <t>LAXÅ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58197-2019</t>
        </is>
      </c>
      <c r="B53" s="1" t="n">
        <v>43770</v>
      </c>
      <c r="C53" s="1" t="n">
        <v>45509</v>
      </c>
      <c r="D53" t="inlineStr">
        <is>
          <t>ÖREBRO LÄN</t>
        </is>
      </c>
      <c r="E53" t="inlineStr">
        <is>
          <t>LAXÅ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59368-2019</t>
        </is>
      </c>
      <c r="B54" s="1" t="n">
        <v>43775</v>
      </c>
      <c r="C54" s="1" t="n">
        <v>45509</v>
      </c>
      <c r="D54" t="inlineStr">
        <is>
          <t>ÖREBRO LÄN</t>
        </is>
      </c>
      <c r="E54" t="inlineStr">
        <is>
          <t>LAXÅ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60921-2019</t>
        </is>
      </c>
      <c r="B55" s="1" t="n">
        <v>43782</v>
      </c>
      <c r="C55" s="1" t="n">
        <v>45509</v>
      </c>
      <c r="D55" t="inlineStr">
        <is>
          <t>ÖREBRO LÄN</t>
        </is>
      </c>
      <c r="E55" t="inlineStr">
        <is>
          <t>LAXÅ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63244-2019</t>
        </is>
      </c>
      <c r="B56" s="1" t="n">
        <v>43792</v>
      </c>
      <c r="C56" s="1" t="n">
        <v>45509</v>
      </c>
      <c r="D56" t="inlineStr">
        <is>
          <t>ÖREBRO LÄN</t>
        </is>
      </c>
      <c r="E56" t="inlineStr">
        <is>
          <t>LAXÅ</t>
        </is>
      </c>
      <c r="G56" t="n">
        <v>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64354-2019</t>
        </is>
      </c>
      <c r="B57" s="1" t="n">
        <v>43797</v>
      </c>
      <c r="C57" s="1" t="n">
        <v>45509</v>
      </c>
      <c r="D57" t="inlineStr">
        <is>
          <t>ÖREBRO LÄN</t>
        </is>
      </c>
      <c r="E57" t="inlineStr">
        <is>
          <t>LAXÅ</t>
        </is>
      </c>
      <c r="F57" t="inlineStr">
        <is>
          <t>Sveaskog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66558-2019</t>
        </is>
      </c>
      <c r="B58" s="1" t="n">
        <v>43809</v>
      </c>
      <c r="C58" s="1" t="n">
        <v>45509</v>
      </c>
      <c r="D58" t="inlineStr">
        <is>
          <t>ÖREBRO LÄN</t>
        </is>
      </c>
      <c r="E58" t="inlineStr">
        <is>
          <t>LAXÅ</t>
        </is>
      </c>
      <c r="F58" t="inlineStr">
        <is>
          <t>Sveaskog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69074-2019</t>
        </is>
      </c>
      <c r="B59" s="1" t="n">
        <v>43827</v>
      </c>
      <c r="C59" s="1" t="n">
        <v>45509</v>
      </c>
      <c r="D59" t="inlineStr">
        <is>
          <t>ÖREBRO LÄN</t>
        </is>
      </c>
      <c r="E59" t="inlineStr">
        <is>
          <t>LAXÅ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465-2020</t>
        </is>
      </c>
      <c r="B60" s="1" t="n">
        <v>43837</v>
      </c>
      <c r="C60" s="1" t="n">
        <v>45509</v>
      </c>
      <c r="D60" t="inlineStr">
        <is>
          <t>ÖREBRO LÄN</t>
        </is>
      </c>
      <c r="E60" t="inlineStr">
        <is>
          <t>LAXÅ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2573-2020</t>
        </is>
      </c>
      <c r="B61" s="1" t="n">
        <v>43843</v>
      </c>
      <c r="C61" s="1" t="n">
        <v>45509</v>
      </c>
      <c r="D61" t="inlineStr">
        <is>
          <t>ÖREBRO LÄN</t>
        </is>
      </c>
      <c r="E61" t="inlineStr">
        <is>
          <t>LAXÅ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3462-2020</t>
        </is>
      </c>
      <c r="B62" s="1" t="n">
        <v>43852</v>
      </c>
      <c r="C62" s="1" t="n">
        <v>45509</v>
      </c>
      <c r="D62" t="inlineStr">
        <is>
          <t>ÖREBRO LÄN</t>
        </is>
      </c>
      <c r="E62" t="inlineStr">
        <is>
          <t>LAXÅ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11568-2020</t>
        </is>
      </c>
      <c r="B63" s="1" t="n">
        <v>43893</v>
      </c>
      <c r="C63" s="1" t="n">
        <v>45509</v>
      </c>
      <c r="D63" t="inlineStr">
        <is>
          <t>ÖREBRO LÄN</t>
        </is>
      </c>
      <c r="E63" t="inlineStr">
        <is>
          <t>LAXÅ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11919-2020</t>
        </is>
      </c>
      <c r="B64" s="1" t="n">
        <v>43894</v>
      </c>
      <c r="C64" s="1" t="n">
        <v>45509</v>
      </c>
      <c r="D64" t="inlineStr">
        <is>
          <t>ÖREBRO LÄN</t>
        </is>
      </c>
      <c r="E64" t="inlineStr">
        <is>
          <t>LAXÅ</t>
        </is>
      </c>
      <c r="G64" t="n">
        <v>7.8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14477-2020</t>
        </is>
      </c>
      <c r="B65" s="1" t="n">
        <v>43902</v>
      </c>
      <c r="C65" s="1" t="n">
        <v>45509</v>
      </c>
      <c r="D65" t="inlineStr">
        <is>
          <t>ÖREBRO LÄN</t>
        </is>
      </c>
      <c r="E65" t="inlineStr">
        <is>
          <t>LAXÅ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17482-2020</t>
        </is>
      </c>
      <c r="B66" s="1" t="n">
        <v>43923</v>
      </c>
      <c r="C66" s="1" t="n">
        <v>45509</v>
      </c>
      <c r="D66" t="inlineStr">
        <is>
          <t>ÖREBRO LÄN</t>
        </is>
      </c>
      <c r="E66" t="inlineStr">
        <is>
          <t>LAXÅ</t>
        </is>
      </c>
      <c r="F66" t="inlineStr">
        <is>
          <t>Sveaskog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17663-2020</t>
        </is>
      </c>
      <c r="B67" s="1" t="n">
        <v>43923</v>
      </c>
      <c r="C67" s="1" t="n">
        <v>45509</v>
      </c>
      <c r="D67" t="inlineStr">
        <is>
          <t>ÖREBRO LÄN</t>
        </is>
      </c>
      <c r="E67" t="inlineStr">
        <is>
          <t>LAXÅ</t>
        </is>
      </c>
      <c r="F67" t="inlineStr">
        <is>
          <t>Sveaskog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17673-2020</t>
        </is>
      </c>
      <c r="B68" s="1" t="n">
        <v>43923</v>
      </c>
      <c r="C68" s="1" t="n">
        <v>45509</v>
      </c>
      <c r="D68" t="inlineStr">
        <is>
          <t>ÖREBRO LÄN</t>
        </is>
      </c>
      <c r="E68" t="inlineStr">
        <is>
          <t>LAXÅ</t>
        </is>
      </c>
      <c r="F68" t="inlineStr">
        <is>
          <t>Sveaskog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18122-2020</t>
        </is>
      </c>
      <c r="B69" s="1" t="n">
        <v>43924</v>
      </c>
      <c r="C69" s="1" t="n">
        <v>45509</v>
      </c>
      <c r="D69" t="inlineStr">
        <is>
          <t>ÖREBRO LÄN</t>
        </is>
      </c>
      <c r="E69" t="inlineStr">
        <is>
          <t>LAXÅ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18119-2020</t>
        </is>
      </c>
      <c r="B70" s="1" t="n">
        <v>43924</v>
      </c>
      <c r="C70" s="1" t="n">
        <v>45509</v>
      </c>
      <c r="D70" t="inlineStr">
        <is>
          <t>ÖREBRO LÄN</t>
        </is>
      </c>
      <c r="E70" t="inlineStr">
        <is>
          <t>LAXÅ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20559-2020</t>
        </is>
      </c>
      <c r="B71" s="1" t="n">
        <v>43948</v>
      </c>
      <c r="C71" s="1" t="n">
        <v>45509</v>
      </c>
      <c r="D71" t="inlineStr">
        <is>
          <t>ÖREBRO LÄN</t>
        </is>
      </c>
      <c r="E71" t="inlineStr">
        <is>
          <t>LAXÅ</t>
        </is>
      </c>
      <c r="F71" t="inlineStr">
        <is>
          <t>Allmännings- och besparingsskogar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20613-2020</t>
        </is>
      </c>
      <c r="B72" s="1" t="n">
        <v>43948</v>
      </c>
      <c r="C72" s="1" t="n">
        <v>45509</v>
      </c>
      <c r="D72" t="inlineStr">
        <is>
          <t>ÖREBRO LÄN</t>
        </is>
      </c>
      <c r="E72" t="inlineStr">
        <is>
          <t>LAXÅ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21249-2020</t>
        </is>
      </c>
      <c r="B73" s="1" t="n">
        <v>43955</v>
      </c>
      <c r="C73" s="1" t="n">
        <v>45509</v>
      </c>
      <c r="D73" t="inlineStr">
        <is>
          <t>ÖREBRO LÄN</t>
        </is>
      </c>
      <c r="E73" t="inlineStr">
        <is>
          <t>LAXÅ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24615-2020</t>
        </is>
      </c>
      <c r="B74" s="1" t="n">
        <v>43977</v>
      </c>
      <c r="C74" s="1" t="n">
        <v>45509</v>
      </c>
      <c r="D74" t="inlineStr">
        <is>
          <t>ÖREBRO LÄN</t>
        </is>
      </c>
      <c r="E74" t="inlineStr">
        <is>
          <t>LAXÅ</t>
        </is>
      </c>
      <c r="F74" t="inlineStr">
        <is>
          <t>Sveaskog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24624-2020</t>
        </is>
      </c>
      <c r="B75" s="1" t="n">
        <v>43977</v>
      </c>
      <c r="C75" s="1" t="n">
        <v>45509</v>
      </c>
      <c r="D75" t="inlineStr">
        <is>
          <t>ÖREBRO LÄN</t>
        </is>
      </c>
      <c r="E75" t="inlineStr">
        <is>
          <t>LAXÅ</t>
        </is>
      </c>
      <c r="F75" t="inlineStr">
        <is>
          <t>Sveaskog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24844-2020</t>
        </is>
      </c>
      <c r="B76" s="1" t="n">
        <v>43978</v>
      </c>
      <c r="C76" s="1" t="n">
        <v>45509</v>
      </c>
      <c r="D76" t="inlineStr">
        <is>
          <t>ÖREBRO LÄN</t>
        </is>
      </c>
      <c r="E76" t="inlineStr">
        <is>
          <t>LAXÅ</t>
        </is>
      </c>
      <c r="F76" t="inlineStr">
        <is>
          <t>Sveaskog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25322-2020</t>
        </is>
      </c>
      <c r="B77" s="1" t="n">
        <v>43980</v>
      </c>
      <c r="C77" s="1" t="n">
        <v>45509</v>
      </c>
      <c r="D77" t="inlineStr">
        <is>
          <t>ÖREBRO LÄN</t>
        </is>
      </c>
      <c r="E77" t="inlineStr">
        <is>
          <t>LAXÅ</t>
        </is>
      </c>
      <c r="G77" t="n">
        <v>7.9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25654-2020</t>
        </is>
      </c>
      <c r="B78" s="1" t="n">
        <v>43983</v>
      </c>
      <c r="C78" s="1" t="n">
        <v>45509</v>
      </c>
      <c r="D78" t="inlineStr">
        <is>
          <t>ÖREBRO LÄN</t>
        </is>
      </c>
      <c r="E78" t="inlineStr">
        <is>
          <t>LAXÅ</t>
        </is>
      </c>
      <c r="F78" t="inlineStr">
        <is>
          <t>Sveaskog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25653-2020</t>
        </is>
      </c>
      <c r="B79" s="1" t="n">
        <v>43983</v>
      </c>
      <c r="C79" s="1" t="n">
        <v>45509</v>
      </c>
      <c r="D79" t="inlineStr">
        <is>
          <t>ÖREBRO LÄN</t>
        </is>
      </c>
      <c r="E79" t="inlineStr">
        <is>
          <t>LAXÅ</t>
        </is>
      </c>
      <c r="F79" t="inlineStr">
        <is>
          <t>Sveaskog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25655-2020</t>
        </is>
      </c>
      <c r="B80" s="1" t="n">
        <v>43983</v>
      </c>
      <c r="C80" s="1" t="n">
        <v>45509</v>
      </c>
      <c r="D80" t="inlineStr">
        <is>
          <t>ÖREBRO LÄN</t>
        </is>
      </c>
      <c r="E80" t="inlineStr">
        <is>
          <t>LAXÅ</t>
        </is>
      </c>
      <c r="F80" t="inlineStr">
        <is>
          <t>Sveaskog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26549-2020</t>
        </is>
      </c>
      <c r="B81" s="1" t="n">
        <v>43987</v>
      </c>
      <c r="C81" s="1" t="n">
        <v>45509</v>
      </c>
      <c r="D81" t="inlineStr">
        <is>
          <t>ÖREBRO LÄN</t>
        </is>
      </c>
      <c r="E81" t="inlineStr">
        <is>
          <t>LAXÅ</t>
        </is>
      </c>
      <c r="F81" t="inlineStr">
        <is>
          <t>Sveaskog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30779-2020</t>
        </is>
      </c>
      <c r="B82" s="1" t="n">
        <v>44009</v>
      </c>
      <c r="C82" s="1" t="n">
        <v>45509</v>
      </c>
      <c r="D82" t="inlineStr">
        <is>
          <t>ÖREBRO LÄN</t>
        </is>
      </c>
      <c r="E82" t="inlineStr">
        <is>
          <t>LAXÅ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33422-2020</t>
        </is>
      </c>
      <c r="B83" s="1" t="n">
        <v>44021</v>
      </c>
      <c r="C83" s="1" t="n">
        <v>45509</v>
      </c>
      <c r="D83" t="inlineStr">
        <is>
          <t>ÖREBRO LÄN</t>
        </is>
      </c>
      <c r="E83" t="inlineStr">
        <is>
          <t>LAXÅ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34382-2020</t>
        </is>
      </c>
      <c r="B84" s="1" t="n">
        <v>44032</v>
      </c>
      <c r="C84" s="1" t="n">
        <v>45509</v>
      </c>
      <c r="D84" t="inlineStr">
        <is>
          <t>ÖREBRO LÄN</t>
        </is>
      </c>
      <c r="E84" t="inlineStr">
        <is>
          <t>LAXÅ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34982-2020</t>
        </is>
      </c>
      <c r="B85" s="1" t="n">
        <v>44039</v>
      </c>
      <c r="C85" s="1" t="n">
        <v>45509</v>
      </c>
      <c r="D85" t="inlineStr">
        <is>
          <t>ÖREBRO LÄN</t>
        </is>
      </c>
      <c r="E85" t="inlineStr">
        <is>
          <t>LAXÅ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35077-2020</t>
        </is>
      </c>
      <c r="B86" s="1" t="n">
        <v>44039</v>
      </c>
      <c r="C86" s="1" t="n">
        <v>45509</v>
      </c>
      <c r="D86" t="inlineStr">
        <is>
          <t>ÖREBRO LÄN</t>
        </is>
      </c>
      <c r="E86" t="inlineStr">
        <is>
          <t>LAXÅ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35078-2020</t>
        </is>
      </c>
      <c r="B87" s="1" t="n">
        <v>44039</v>
      </c>
      <c r="C87" s="1" t="n">
        <v>45509</v>
      </c>
      <c r="D87" t="inlineStr">
        <is>
          <t>ÖREBRO LÄN</t>
        </is>
      </c>
      <c r="E87" t="inlineStr">
        <is>
          <t>LAXÅ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36493-2020</t>
        </is>
      </c>
      <c r="B88" s="1" t="n">
        <v>44050</v>
      </c>
      <c r="C88" s="1" t="n">
        <v>45509</v>
      </c>
      <c r="D88" t="inlineStr">
        <is>
          <t>ÖREBRO LÄN</t>
        </is>
      </c>
      <c r="E88" t="inlineStr">
        <is>
          <t>LAXÅ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41422-2020</t>
        </is>
      </c>
      <c r="B89" s="1" t="n">
        <v>44073</v>
      </c>
      <c r="C89" s="1" t="n">
        <v>45509</v>
      </c>
      <c r="D89" t="inlineStr">
        <is>
          <t>ÖREBRO LÄN</t>
        </is>
      </c>
      <c r="E89" t="inlineStr">
        <is>
          <t>LAXÅ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43688-2020</t>
        </is>
      </c>
      <c r="B90" s="1" t="n">
        <v>44082</v>
      </c>
      <c r="C90" s="1" t="n">
        <v>45509</v>
      </c>
      <c r="D90" t="inlineStr">
        <is>
          <t>ÖREBRO LÄN</t>
        </is>
      </c>
      <c r="E90" t="inlineStr">
        <is>
          <t>LAXÅ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43683-2020</t>
        </is>
      </c>
      <c r="B91" s="1" t="n">
        <v>44082</v>
      </c>
      <c r="C91" s="1" t="n">
        <v>45509</v>
      </c>
      <c r="D91" t="inlineStr">
        <is>
          <t>ÖREBRO LÄN</t>
        </is>
      </c>
      <c r="E91" t="inlineStr">
        <is>
          <t>LAXÅ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45156-2020</t>
        </is>
      </c>
      <c r="B92" s="1" t="n">
        <v>44088</v>
      </c>
      <c r="C92" s="1" t="n">
        <v>45509</v>
      </c>
      <c r="D92" t="inlineStr">
        <is>
          <t>ÖREBRO LÄN</t>
        </is>
      </c>
      <c r="E92" t="inlineStr">
        <is>
          <t>LAXÅ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47926-2020</t>
        </is>
      </c>
      <c r="B93" s="1" t="n">
        <v>44099</v>
      </c>
      <c r="C93" s="1" t="n">
        <v>45509</v>
      </c>
      <c r="D93" t="inlineStr">
        <is>
          <t>ÖREBRO LÄN</t>
        </is>
      </c>
      <c r="E93" t="inlineStr">
        <is>
          <t>LAXÅ</t>
        </is>
      </c>
      <c r="F93" t="inlineStr">
        <is>
          <t>Sveaskog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48123-2020</t>
        </is>
      </c>
      <c r="B94" s="1" t="n">
        <v>44102</v>
      </c>
      <c r="C94" s="1" t="n">
        <v>45509</v>
      </c>
      <c r="D94" t="inlineStr">
        <is>
          <t>ÖREBRO LÄN</t>
        </is>
      </c>
      <c r="E94" t="inlineStr">
        <is>
          <t>LAXÅ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48572-2020</t>
        </is>
      </c>
      <c r="B95" s="1" t="n">
        <v>44103</v>
      </c>
      <c r="C95" s="1" t="n">
        <v>45509</v>
      </c>
      <c r="D95" t="inlineStr">
        <is>
          <t>ÖREBRO LÄN</t>
        </is>
      </c>
      <c r="E95" t="inlineStr">
        <is>
          <t>LAXÅ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51174-2020</t>
        </is>
      </c>
      <c r="B96" s="1" t="n">
        <v>44112</v>
      </c>
      <c r="C96" s="1" t="n">
        <v>45509</v>
      </c>
      <c r="D96" t="inlineStr">
        <is>
          <t>ÖREBRO LÄN</t>
        </is>
      </c>
      <c r="E96" t="inlineStr">
        <is>
          <t>LAXÅ</t>
        </is>
      </c>
      <c r="F96" t="inlineStr">
        <is>
          <t>Sveaskog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51187-2020</t>
        </is>
      </c>
      <c r="B97" s="1" t="n">
        <v>44112</v>
      </c>
      <c r="C97" s="1" t="n">
        <v>45509</v>
      </c>
      <c r="D97" t="inlineStr">
        <is>
          <t>ÖREBRO LÄN</t>
        </is>
      </c>
      <c r="E97" t="inlineStr">
        <is>
          <t>LAXÅ</t>
        </is>
      </c>
      <c r="F97" t="inlineStr">
        <is>
          <t>Sveaskog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51184-2020</t>
        </is>
      </c>
      <c r="B98" s="1" t="n">
        <v>44112</v>
      </c>
      <c r="C98" s="1" t="n">
        <v>45509</v>
      </c>
      <c r="D98" t="inlineStr">
        <is>
          <t>ÖREBRO LÄN</t>
        </is>
      </c>
      <c r="E98" t="inlineStr">
        <is>
          <t>LAXÅ</t>
        </is>
      </c>
      <c r="F98" t="inlineStr">
        <is>
          <t>Sveaskog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52679-2020</t>
        </is>
      </c>
      <c r="B99" s="1" t="n">
        <v>44117</v>
      </c>
      <c r="C99" s="1" t="n">
        <v>45509</v>
      </c>
      <c r="D99" t="inlineStr">
        <is>
          <t>ÖREBRO LÄN</t>
        </is>
      </c>
      <c r="E99" t="inlineStr">
        <is>
          <t>LAXÅ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53973-2020</t>
        </is>
      </c>
      <c r="B100" s="1" t="n">
        <v>44125</v>
      </c>
      <c r="C100" s="1" t="n">
        <v>45509</v>
      </c>
      <c r="D100" t="inlineStr">
        <is>
          <t>ÖREBRO LÄN</t>
        </is>
      </c>
      <c r="E100" t="inlineStr">
        <is>
          <t>LAXÅ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53987-2020</t>
        </is>
      </c>
      <c r="B101" s="1" t="n">
        <v>44125</v>
      </c>
      <c r="C101" s="1" t="n">
        <v>45509</v>
      </c>
      <c r="D101" t="inlineStr">
        <is>
          <t>ÖREBRO LÄN</t>
        </is>
      </c>
      <c r="E101" t="inlineStr">
        <is>
          <t>LAXÅ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54101-2020</t>
        </is>
      </c>
      <c r="B102" s="1" t="n">
        <v>44125</v>
      </c>
      <c r="C102" s="1" t="n">
        <v>45509</v>
      </c>
      <c r="D102" t="inlineStr">
        <is>
          <t>ÖREBRO LÄN</t>
        </is>
      </c>
      <c r="E102" t="inlineStr">
        <is>
          <t>LAXÅ</t>
        </is>
      </c>
      <c r="F102" t="inlineStr">
        <is>
          <t>Övriga statliga verk och myndigheter</t>
        </is>
      </c>
      <c r="G102" t="n">
        <v>7.3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54954-2020</t>
        </is>
      </c>
      <c r="B103" s="1" t="n">
        <v>44129</v>
      </c>
      <c r="C103" s="1" t="n">
        <v>45509</v>
      </c>
      <c r="D103" t="inlineStr">
        <is>
          <t>ÖREBRO LÄN</t>
        </is>
      </c>
      <c r="E103" t="inlineStr">
        <is>
          <t>LAXÅ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55017-2020</t>
        </is>
      </c>
      <c r="B104" s="1" t="n">
        <v>44130</v>
      </c>
      <c r="C104" s="1" t="n">
        <v>45509</v>
      </c>
      <c r="D104" t="inlineStr">
        <is>
          <t>ÖREBRO LÄN</t>
        </is>
      </c>
      <c r="E104" t="inlineStr">
        <is>
          <t>LAXÅ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55991-2020</t>
        </is>
      </c>
      <c r="B105" s="1" t="n">
        <v>44133</v>
      </c>
      <c r="C105" s="1" t="n">
        <v>45509</v>
      </c>
      <c r="D105" t="inlineStr">
        <is>
          <t>ÖREBRO LÄN</t>
        </is>
      </c>
      <c r="E105" t="inlineStr">
        <is>
          <t>LAXÅ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56042-2020</t>
        </is>
      </c>
      <c r="B106" s="1" t="n">
        <v>44133</v>
      </c>
      <c r="C106" s="1" t="n">
        <v>45509</v>
      </c>
      <c r="D106" t="inlineStr">
        <is>
          <t>ÖREBRO LÄN</t>
        </is>
      </c>
      <c r="E106" t="inlineStr">
        <is>
          <t>LAXÅ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55994-2020</t>
        </is>
      </c>
      <c r="B107" s="1" t="n">
        <v>44133</v>
      </c>
      <c r="C107" s="1" t="n">
        <v>45509</v>
      </c>
      <c r="D107" t="inlineStr">
        <is>
          <t>ÖREBRO LÄN</t>
        </is>
      </c>
      <c r="E107" t="inlineStr">
        <is>
          <t>LAXÅ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56858-2020</t>
        </is>
      </c>
      <c r="B108" s="1" t="n">
        <v>44134</v>
      </c>
      <c r="C108" s="1" t="n">
        <v>45509</v>
      </c>
      <c r="D108" t="inlineStr">
        <is>
          <t>ÖREBRO LÄN</t>
        </is>
      </c>
      <c r="E108" t="inlineStr">
        <is>
          <t>LAXÅ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57358-2020</t>
        </is>
      </c>
      <c r="B109" s="1" t="n">
        <v>44139</v>
      </c>
      <c r="C109" s="1" t="n">
        <v>45509</v>
      </c>
      <c r="D109" t="inlineStr">
        <is>
          <t>ÖREBRO LÄN</t>
        </is>
      </c>
      <c r="E109" t="inlineStr">
        <is>
          <t>LAXÅ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57359-2020</t>
        </is>
      </c>
      <c r="B110" s="1" t="n">
        <v>44139</v>
      </c>
      <c r="C110" s="1" t="n">
        <v>45509</v>
      </c>
      <c r="D110" t="inlineStr">
        <is>
          <t>ÖREBRO LÄN</t>
        </is>
      </c>
      <c r="E110" t="inlineStr">
        <is>
          <t>LAXÅ</t>
        </is>
      </c>
      <c r="G110" t="n">
        <v>0.1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57361-2020</t>
        </is>
      </c>
      <c r="B111" s="1" t="n">
        <v>44139</v>
      </c>
      <c r="C111" s="1" t="n">
        <v>45509</v>
      </c>
      <c r="D111" t="inlineStr">
        <is>
          <t>ÖREBRO LÄN</t>
        </is>
      </c>
      <c r="E111" t="inlineStr">
        <is>
          <t>LAXÅ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59683-2020</t>
        </is>
      </c>
      <c r="B112" s="1" t="n">
        <v>44151</v>
      </c>
      <c r="C112" s="1" t="n">
        <v>45509</v>
      </c>
      <c r="D112" t="inlineStr">
        <is>
          <t>ÖREBRO LÄN</t>
        </is>
      </c>
      <c r="E112" t="inlineStr">
        <is>
          <t>LAXÅ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67725-2020</t>
        </is>
      </c>
      <c r="B113" s="1" t="n">
        <v>44182</v>
      </c>
      <c r="C113" s="1" t="n">
        <v>45509</v>
      </c>
      <c r="D113" t="inlineStr">
        <is>
          <t>ÖREBRO LÄN</t>
        </is>
      </c>
      <c r="E113" t="inlineStr">
        <is>
          <t>LAXÅ</t>
        </is>
      </c>
      <c r="F113" t="inlineStr">
        <is>
          <t>Sveaskog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67740-2020</t>
        </is>
      </c>
      <c r="B114" s="1" t="n">
        <v>44182</v>
      </c>
      <c r="C114" s="1" t="n">
        <v>45509</v>
      </c>
      <c r="D114" t="inlineStr">
        <is>
          <t>ÖREBRO LÄN</t>
        </is>
      </c>
      <c r="E114" t="inlineStr">
        <is>
          <t>LAXÅ</t>
        </is>
      </c>
      <c r="F114" t="inlineStr">
        <is>
          <t>Sveaskog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67766-2020</t>
        </is>
      </c>
      <c r="B115" s="1" t="n">
        <v>44182</v>
      </c>
      <c r="C115" s="1" t="n">
        <v>45509</v>
      </c>
      <c r="D115" t="inlineStr">
        <is>
          <t>ÖREBRO LÄN</t>
        </is>
      </c>
      <c r="E115" t="inlineStr">
        <is>
          <t>LAXÅ</t>
        </is>
      </c>
      <c r="F115" t="inlineStr">
        <is>
          <t>Sveaskog</t>
        </is>
      </c>
      <c r="G115" t="n">
        <v>12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67814-2020</t>
        </is>
      </c>
      <c r="B116" s="1" t="n">
        <v>44182</v>
      </c>
      <c r="C116" s="1" t="n">
        <v>45509</v>
      </c>
      <c r="D116" t="inlineStr">
        <is>
          <t>ÖREBRO LÄN</t>
        </is>
      </c>
      <c r="E116" t="inlineStr">
        <is>
          <t>LAXÅ</t>
        </is>
      </c>
      <c r="F116" t="inlineStr">
        <is>
          <t>Sveaskog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67825-2020</t>
        </is>
      </c>
      <c r="B117" s="1" t="n">
        <v>44182</v>
      </c>
      <c r="C117" s="1" t="n">
        <v>45509</v>
      </c>
      <c r="D117" t="inlineStr">
        <is>
          <t>ÖREBRO LÄN</t>
        </is>
      </c>
      <c r="E117" t="inlineStr">
        <is>
          <t>LAXÅ</t>
        </is>
      </c>
      <c r="F117" t="inlineStr">
        <is>
          <t>Sveaskog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67849-2020</t>
        </is>
      </c>
      <c r="B118" s="1" t="n">
        <v>44182</v>
      </c>
      <c r="C118" s="1" t="n">
        <v>45509</v>
      </c>
      <c r="D118" t="inlineStr">
        <is>
          <t>ÖREBRO LÄN</t>
        </is>
      </c>
      <c r="E118" t="inlineStr">
        <is>
          <t>LAXÅ</t>
        </is>
      </c>
      <c r="F118" t="inlineStr">
        <is>
          <t>Sveaskog</t>
        </is>
      </c>
      <c r="G118" t="n">
        <v>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67626-2020</t>
        </is>
      </c>
      <c r="B119" s="1" t="n">
        <v>44182</v>
      </c>
      <c r="C119" s="1" t="n">
        <v>45509</v>
      </c>
      <c r="D119" t="inlineStr">
        <is>
          <t>ÖREBRO LÄN</t>
        </is>
      </c>
      <c r="E119" t="inlineStr">
        <is>
          <t>LAXÅ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67792-2020</t>
        </is>
      </c>
      <c r="B120" s="1" t="n">
        <v>44182</v>
      </c>
      <c r="C120" s="1" t="n">
        <v>45509</v>
      </c>
      <c r="D120" t="inlineStr">
        <is>
          <t>ÖREBRO LÄN</t>
        </is>
      </c>
      <c r="E120" t="inlineStr">
        <is>
          <t>LAXÅ</t>
        </is>
      </c>
      <c r="F120" t="inlineStr">
        <is>
          <t>Sveaskog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67806-2020</t>
        </is>
      </c>
      <c r="B121" s="1" t="n">
        <v>44182</v>
      </c>
      <c r="C121" s="1" t="n">
        <v>45509</v>
      </c>
      <c r="D121" t="inlineStr">
        <is>
          <t>ÖREBRO LÄN</t>
        </is>
      </c>
      <c r="E121" t="inlineStr">
        <is>
          <t>LAXÅ</t>
        </is>
      </c>
      <c r="F121" t="inlineStr">
        <is>
          <t>Sveaskog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67822-2020</t>
        </is>
      </c>
      <c r="B122" s="1" t="n">
        <v>44182</v>
      </c>
      <c r="C122" s="1" t="n">
        <v>45509</v>
      </c>
      <c r="D122" t="inlineStr">
        <is>
          <t>ÖREBRO LÄN</t>
        </is>
      </c>
      <c r="E122" t="inlineStr">
        <is>
          <t>LAXÅ</t>
        </is>
      </c>
      <c r="F122" t="inlineStr">
        <is>
          <t>Sveaskog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67790-2020</t>
        </is>
      </c>
      <c r="B123" s="1" t="n">
        <v>44182</v>
      </c>
      <c r="C123" s="1" t="n">
        <v>45509</v>
      </c>
      <c r="D123" t="inlineStr">
        <is>
          <t>ÖREBRO LÄN</t>
        </is>
      </c>
      <c r="E123" t="inlineStr">
        <is>
          <t>LAXÅ</t>
        </is>
      </c>
      <c r="F123" t="inlineStr">
        <is>
          <t>Sveaskog</t>
        </is>
      </c>
      <c r="G123" t="n">
        <v>6.8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67802-2020</t>
        </is>
      </c>
      <c r="B124" s="1" t="n">
        <v>44182</v>
      </c>
      <c r="C124" s="1" t="n">
        <v>45509</v>
      </c>
      <c r="D124" t="inlineStr">
        <is>
          <t>ÖREBRO LÄN</t>
        </is>
      </c>
      <c r="E124" t="inlineStr">
        <is>
          <t>LAXÅ</t>
        </is>
      </c>
      <c r="F124" t="inlineStr">
        <is>
          <t>Sveaskog</t>
        </is>
      </c>
      <c r="G124" t="n">
        <v>6.3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67829-2020</t>
        </is>
      </c>
      <c r="B125" s="1" t="n">
        <v>44182</v>
      </c>
      <c r="C125" s="1" t="n">
        <v>45509</v>
      </c>
      <c r="D125" t="inlineStr">
        <is>
          <t>ÖREBRO LÄN</t>
        </is>
      </c>
      <c r="E125" t="inlineStr">
        <is>
          <t>LAXÅ</t>
        </is>
      </c>
      <c r="F125" t="inlineStr">
        <is>
          <t>Sveaskog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67853-2020</t>
        </is>
      </c>
      <c r="B126" s="1" t="n">
        <v>44182</v>
      </c>
      <c r="C126" s="1" t="n">
        <v>45509</v>
      </c>
      <c r="D126" t="inlineStr">
        <is>
          <t>ÖREBRO LÄN</t>
        </is>
      </c>
      <c r="E126" t="inlineStr">
        <is>
          <t>LAXÅ</t>
        </is>
      </c>
      <c r="F126" t="inlineStr">
        <is>
          <t>Sveaskog</t>
        </is>
      </c>
      <c r="G126" t="n">
        <v>4.7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67858-2020</t>
        </is>
      </c>
      <c r="B127" s="1" t="n">
        <v>44182</v>
      </c>
      <c r="C127" s="1" t="n">
        <v>45509</v>
      </c>
      <c r="D127" t="inlineStr">
        <is>
          <t>ÖREBRO LÄN</t>
        </is>
      </c>
      <c r="E127" t="inlineStr">
        <is>
          <t>LAXÅ</t>
        </is>
      </c>
      <c r="F127" t="inlineStr">
        <is>
          <t>Sveaskog</t>
        </is>
      </c>
      <c r="G127" t="n">
        <v>5.2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67726-2020</t>
        </is>
      </c>
      <c r="B128" s="1" t="n">
        <v>44182</v>
      </c>
      <c r="C128" s="1" t="n">
        <v>45509</v>
      </c>
      <c r="D128" t="inlineStr">
        <is>
          <t>ÖREBRO LÄN</t>
        </is>
      </c>
      <c r="E128" t="inlineStr">
        <is>
          <t>LAXÅ</t>
        </is>
      </c>
      <c r="F128" t="inlineStr">
        <is>
          <t>Sveaskog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67796-2020</t>
        </is>
      </c>
      <c r="B129" s="1" t="n">
        <v>44182</v>
      </c>
      <c r="C129" s="1" t="n">
        <v>45509</v>
      </c>
      <c r="D129" t="inlineStr">
        <is>
          <t>ÖREBRO LÄN</t>
        </is>
      </c>
      <c r="E129" t="inlineStr">
        <is>
          <t>LAXÅ</t>
        </is>
      </c>
      <c r="F129" t="inlineStr">
        <is>
          <t>Sveaskog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67819-2020</t>
        </is>
      </c>
      <c r="B130" s="1" t="n">
        <v>44182</v>
      </c>
      <c r="C130" s="1" t="n">
        <v>45509</v>
      </c>
      <c r="D130" t="inlineStr">
        <is>
          <t>ÖREBRO LÄN</t>
        </is>
      </c>
      <c r="E130" t="inlineStr">
        <is>
          <t>LAXÅ</t>
        </is>
      </c>
      <c r="F130" t="inlineStr">
        <is>
          <t>Sveaskog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67826-2020</t>
        </is>
      </c>
      <c r="B131" s="1" t="n">
        <v>44182</v>
      </c>
      <c r="C131" s="1" t="n">
        <v>45509</v>
      </c>
      <c r="D131" t="inlineStr">
        <is>
          <t>ÖREBRO LÄN</t>
        </is>
      </c>
      <c r="E131" t="inlineStr">
        <is>
          <t>LAXÅ</t>
        </is>
      </c>
      <c r="F131" t="inlineStr">
        <is>
          <t>Sveaskog</t>
        </is>
      </c>
      <c r="G131" t="n">
        <v>6.9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67863-2020</t>
        </is>
      </c>
      <c r="B132" s="1" t="n">
        <v>44182</v>
      </c>
      <c r="C132" s="1" t="n">
        <v>45509</v>
      </c>
      <c r="D132" t="inlineStr">
        <is>
          <t>ÖREBRO LÄN</t>
        </is>
      </c>
      <c r="E132" t="inlineStr">
        <is>
          <t>LAXÅ</t>
        </is>
      </c>
      <c r="F132" t="inlineStr">
        <is>
          <t>Sveaskog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67861-2020</t>
        </is>
      </c>
      <c r="B133" s="1" t="n">
        <v>44182</v>
      </c>
      <c r="C133" s="1" t="n">
        <v>45509</v>
      </c>
      <c r="D133" t="inlineStr">
        <is>
          <t>ÖREBRO LÄN</t>
        </is>
      </c>
      <c r="E133" t="inlineStr">
        <is>
          <t>LAXÅ</t>
        </is>
      </c>
      <c r="F133" t="inlineStr">
        <is>
          <t>Sveaskog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67871-2020</t>
        </is>
      </c>
      <c r="B134" s="1" t="n">
        <v>44182</v>
      </c>
      <c r="C134" s="1" t="n">
        <v>45509</v>
      </c>
      <c r="D134" t="inlineStr">
        <is>
          <t>ÖREBRO LÄN</t>
        </is>
      </c>
      <c r="E134" t="inlineStr">
        <is>
          <t>LAXÅ</t>
        </is>
      </c>
      <c r="F134" t="inlineStr">
        <is>
          <t>Sveaskog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67879-2020</t>
        </is>
      </c>
      <c r="B135" s="1" t="n">
        <v>44182</v>
      </c>
      <c r="C135" s="1" t="n">
        <v>45509</v>
      </c>
      <c r="D135" t="inlineStr">
        <is>
          <t>ÖREBRO LÄN</t>
        </is>
      </c>
      <c r="E135" t="inlineStr">
        <is>
          <t>LAXÅ</t>
        </is>
      </c>
      <c r="F135" t="inlineStr">
        <is>
          <t>Sveaskog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67891-2020</t>
        </is>
      </c>
      <c r="B136" s="1" t="n">
        <v>44182</v>
      </c>
      <c r="C136" s="1" t="n">
        <v>45509</v>
      </c>
      <c r="D136" t="inlineStr">
        <is>
          <t>ÖREBRO LÄN</t>
        </is>
      </c>
      <c r="E136" t="inlineStr">
        <is>
          <t>LAXÅ</t>
        </is>
      </c>
      <c r="F136" t="inlineStr">
        <is>
          <t>Sveaskog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67902-2020</t>
        </is>
      </c>
      <c r="B137" s="1" t="n">
        <v>44182</v>
      </c>
      <c r="C137" s="1" t="n">
        <v>45509</v>
      </c>
      <c r="D137" t="inlineStr">
        <is>
          <t>ÖREBRO LÄN</t>
        </is>
      </c>
      <c r="E137" t="inlineStr">
        <is>
          <t>LAXÅ</t>
        </is>
      </c>
      <c r="F137" t="inlineStr">
        <is>
          <t>Sveaskog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67859-2020</t>
        </is>
      </c>
      <c r="B138" s="1" t="n">
        <v>44182</v>
      </c>
      <c r="C138" s="1" t="n">
        <v>45509</v>
      </c>
      <c r="D138" t="inlineStr">
        <is>
          <t>ÖREBRO LÄN</t>
        </is>
      </c>
      <c r="E138" t="inlineStr">
        <is>
          <t>LAXÅ</t>
        </is>
      </c>
      <c r="F138" t="inlineStr">
        <is>
          <t>Sveaskog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67869-2020</t>
        </is>
      </c>
      <c r="B139" s="1" t="n">
        <v>44182</v>
      </c>
      <c r="C139" s="1" t="n">
        <v>45509</v>
      </c>
      <c r="D139" t="inlineStr">
        <is>
          <t>ÖREBRO LÄN</t>
        </is>
      </c>
      <c r="E139" t="inlineStr">
        <is>
          <t>LAXÅ</t>
        </is>
      </c>
      <c r="F139" t="inlineStr">
        <is>
          <t>Sveaskog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67885-2020</t>
        </is>
      </c>
      <c r="B140" s="1" t="n">
        <v>44182</v>
      </c>
      <c r="C140" s="1" t="n">
        <v>45509</v>
      </c>
      <c r="D140" t="inlineStr">
        <is>
          <t>ÖREBRO LÄN</t>
        </is>
      </c>
      <c r="E140" t="inlineStr">
        <is>
          <t>LAXÅ</t>
        </is>
      </c>
      <c r="F140" t="inlineStr">
        <is>
          <t>Sveaskog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67901-2020</t>
        </is>
      </c>
      <c r="B141" s="1" t="n">
        <v>44182</v>
      </c>
      <c r="C141" s="1" t="n">
        <v>45509</v>
      </c>
      <c r="D141" t="inlineStr">
        <is>
          <t>ÖREBRO LÄN</t>
        </is>
      </c>
      <c r="E141" t="inlineStr">
        <is>
          <t>LAXÅ</t>
        </is>
      </c>
      <c r="F141" t="inlineStr">
        <is>
          <t>Sveaskog</t>
        </is>
      </c>
      <c r="G141" t="n">
        <v>6.9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67865-2020</t>
        </is>
      </c>
      <c r="B142" s="1" t="n">
        <v>44182</v>
      </c>
      <c r="C142" s="1" t="n">
        <v>45509</v>
      </c>
      <c r="D142" t="inlineStr">
        <is>
          <t>ÖREBRO LÄN</t>
        </is>
      </c>
      <c r="E142" t="inlineStr">
        <is>
          <t>LAXÅ</t>
        </is>
      </c>
      <c r="F142" t="inlineStr">
        <is>
          <t>Sveaskog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67874-2020</t>
        </is>
      </c>
      <c r="B143" s="1" t="n">
        <v>44182</v>
      </c>
      <c r="C143" s="1" t="n">
        <v>45509</v>
      </c>
      <c r="D143" t="inlineStr">
        <is>
          <t>ÖREBRO LÄN</t>
        </is>
      </c>
      <c r="E143" t="inlineStr">
        <is>
          <t>LAXÅ</t>
        </is>
      </c>
      <c r="F143" t="inlineStr">
        <is>
          <t>Sveaskog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67900-2020</t>
        </is>
      </c>
      <c r="B144" s="1" t="n">
        <v>44182</v>
      </c>
      <c r="C144" s="1" t="n">
        <v>45509</v>
      </c>
      <c r="D144" t="inlineStr">
        <is>
          <t>ÖREBRO LÄN</t>
        </is>
      </c>
      <c r="E144" t="inlineStr">
        <is>
          <t>LAXÅ</t>
        </is>
      </c>
      <c r="F144" t="inlineStr">
        <is>
          <t>Sveaskog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67907-2020</t>
        </is>
      </c>
      <c r="B145" s="1" t="n">
        <v>44182</v>
      </c>
      <c r="C145" s="1" t="n">
        <v>45509</v>
      </c>
      <c r="D145" t="inlineStr">
        <is>
          <t>ÖREBRO LÄN</t>
        </is>
      </c>
      <c r="E145" t="inlineStr">
        <is>
          <t>LAXÅ</t>
        </is>
      </c>
      <c r="F145" t="inlineStr">
        <is>
          <t>Sveaskog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67917-2020</t>
        </is>
      </c>
      <c r="B146" s="1" t="n">
        <v>44182</v>
      </c>
      <c r="C146" s="1" t="n">
        <v>45509</v>
      </c>
      <c r="D146" t="inlineStr">
        <is>
          <t>ÖREBRO LÄN</t>
        </is>
      </c>
      <c r="E146" t="inlineStr">
        <is>
          <t>LAXÅ</t>
        </is>
      </c>
      <c r="F146" t="inlineStr">
        <is>
          <t>Sveaskog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67895-2020</t>
        </is>
      </c>
      <c r="B147" s="1" t="n">
        <v>44182</v>
      </c>
      <c r="C147" s="1" t="n">
        <v>45509</v>
      </c>
      <c r="D147" t="inlineStr">
        <is>
          <t>ÖREBRO LÄN</t>
        </is>
      </c>
      <c r="E147" t="inlineStr">
        <is>
          <t>LAXÅ</t>
        </is>
      </c>
      <c r="F147" t="inlineStr">
        <is>
          <t>Sveaskog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67905-2020</t>
        </is>
      </c>
      <c r="B148" s="1" t="n">
        <v>44182</v>
      </c>
      <c r="C148" s="1" t="n">
        <v>45509</v>
      </c>
      <c r="D148" t="inlineStr">
        <is>
          <t>ÖREBRO LÄN</t>
        </is>
      </c>
      <c r="E148" t="inlineStr">
        <is>
          <t>LAXÅ</t>
        </is>
      </c>
      <c r="F148" t="inlineStr">
        <is>
          <t>Sveaskog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67913-2020</t>
        </is>
      </c>
      <c r="B149" s="1" t="n">
        <v>44182</v>
      </c>
      <c r="C149" s="1" t="n">
        <v>45509</v>
      </c>
      <c r="D149" t="inlineStr">
        <is>
          <t>ÖREBRO LÄN</t>
        </is>
      </c>
      <c r="E149" t="inlineStr">
        <is>
          <t>LAXÅ</t>
        </is>
      </c>
      <c r="F149" t="inlineStr">
        <is>
          <t>Sveaskog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67919-2020</t>
        </is>
      </c>
      <c r="B150" s="1" t="n">
        <v>44182</v>
      </c>
      <c r="C150" s="1" t="n">
        <v>45509</v>
      </c>
      <c r="D150" t="inlineStr">
        <is>
          <t>ÖREBRO LÄN</t>
        </is>
      </c>
      <c r="E150" t="inlineStr">
        <is>
          <t>LAXÅ</t>
        </is>
      </c>
      <c r="F150" t="inlineStr">
        <is>
          <t>Sveaskog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68107-2020</t>
        </is>
      </c>
      <c r="B151" s="1" t="n">
        <v>44182</v>
      </c>
      <c r="C151" s="1" t="n">
        <v>45509</v>
      </c>
      <c r="D151" t="inlineStr">
        <is>
          <t>ÖREBRO LÄN</t>
        </is>
      </c>
      <c r="E151" t="inlineStr">
        <is>
          <t>LAXÅ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67918-2020</t>
        </is>
      </c>
      <c r="B152" s="1" t="n">
        <v>44182</v>
      </c>
      <c r="C152" s="1" t="n">
        <v>45509</v>
      </c>
      <c r="D152" t="inlineStr">
        <is>
          <t>ÖREBRO LÄN</t>
        </is>
      </c>
      <c r="E152" t="inlineStr">
        <is>
          <t>LAXÅ</t>
        </is>
      </c>
      <c r="F152" t="inlineStr">
        <is>
          <t>Sveaskog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67906-2020</t>
        </is>
      </c>
      <c r="B153" s="1" t="n">
        <v>44182</v>
      </c>
      <c r="C153" s="1" t="n">
        <v>45509</v>
      </c>
      <c r="D153" t="inlineStr">
        <is>
          <t>ÖREBRO LÄN</t>
        </is>
      </c>
      <c r="E153" t="inlineStr">
        <is>
          <t>LAXÅ</t>
        </is>
      </c>
      <c r="F153" t="inlineStr">
        <is>
          <t>Sveaskog</t>
        </is>
      </c>
      <c r="G153" t="n">
        <v>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67915-2020</t>
        </is>
      </c>
      <c r="B154" s="1" t="n">
        <v>44182</v>
      </c>
      <c r="C154" s="1" t="n">
        <v>45509</v>
      </c>
      <c r="D154" t="inlineStr">
        <is>
          <t>ÖREBRO LÄN</t>
        </is>
      </c>
      <c r="E154" t="inlineStr">
        <is>
          <t>LAXÅ</t>
        </is>
      </c>
      <c r="F154" t="inlineStr">
        <is>
          <t>Sveaskog</t>
        </is>
      </c>
      <c r="G154" t="n">
        <v>10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68079-2020</t>
        </is>
      </c>
      <c r="B155" s="1" t="n">
        <v>44183</v>
      </c>
      <c r="C155" s="1" t="n">
        <v>45509</v>
      </c>
      <c r="D155" t="inlineStr">
        <is>
          <t>ÖREBRO LÄN</t>
        </is>
      </c>
      <c r="E155" t="inlineStr">
        <is>
          <t>LAXÅ</t>
        </is>
      </c>
      <c r="F155" t="inlineStr">
        <is>
          <t>Sveaskog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68080-2020</t>
        </is>
      </c>
      <c r="B156" s="1" t="n">
        <v>44183</v>
      </c>
      <c r="C156" s="1" t="n">
        <v>45509</v>
      </c>
      <c r="D156" t="inlineStr">
        <is>
          <t>ÖREBRO LÄN</t>
        </is>
      </c>
      <c r="E156" t="inlineStr">
        <is>
          <t>LAXÅ</t>
        </is>
      </c>
      <c r="F156" t="inlineStr">
        <is>
          <t>Sveaskog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68453-2020</t>
        </is>
      </c>
      <c r="B157" s="1" t="n">
        <v>44183</v>
      </c>
      <c r="C157" s="1" t="n">
        <v>45509</v>
      </c>
      <c r="D157" t="inlineStr">
        <is>
          <t>ÖREBRO LÄN</t>
        </is>
      </c>
      <c r="E157" t="inlineStr">
        <is>
          <t>LAXÅ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3615-2021</t>
        </is>
      </c>
      <c r="B158" s="1" t="n">
        <v>44221</v>
      </c>
      <c r="C158" s="1" t="n">
        <v>45509</v>
      </c>
      <c r="D158" t="inlineStr">
        <is>
          <t>ÖREBRO LÄN</t>
        </is>
      </c>
      <c r="E158" t="inlineStr">
        <is>
          <t>LAXÅ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4188-2021</t>
        </is>
      </c>
      <c r="B159" s="1" t="n">
        <v>44223</v>
      </c>
      <c r="C159" s="1" t="n">
        <v>45509</v>
      </c>
      <c r="D159" t="inlineStr">
        <is>
          <t>ÖREBRO LÄN</t>
        </is>
      </c>
      <c r="E159" t="inlineStr">
        <is>
          <t>LAXÅ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12682-2021</t>
        </is>
      </c>
      <c r="B160" s="1" t="n">
        <v>44270</v>
      </c>
      <c r="C160" s="1" t="n">
        <v>45509</v>
      </c>
      <c r="D160" t="inlineStr">
        <is>
          <t>ÖREBRO LÄN</t>
        </is>
      </c>
      <c r="E160" t="inlineStr">
        <is>
          <t>LAXÅ</t>
        </is>
      </c>
      <c r="F160" t="inlineStr">
        <is>
          <t>Sveaskog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12678-2021</t>
        </is>
      </c>
      <c r="B161" s="1" t="n">
        <v>44270</v>
      </c>
      <c r="C161" s="1" t="n">
        <v>45509</v>
      </c>
      <c r="D161" t="inlineStr">
        <is>
          <t>ÖREBRO LÄN</t>
        </is>
      </c>
      <c r="E161" t="inlineStr">
        <is>
          <t>LAXÅ</t>
        </is>
      </c>
      <c r="F161" t="inlineStr">
        <is>
          <t>Sveaskog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15770-2021</t>
        </is>
      </c>
      <c r="B162" s="1" t="n">
        <v>44286</v>
      </c>
      <c r="C162" s="1" t="n">
        <v>45509</v>
      </c>
      <c r="D162" t="inlineStr">
        <is>
          <t>ÖREBRO LÄN</t>
        </is>
      </c>
      <c r="E162" t="inlineStr">
        <is>
          <t>LAXÅ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17077-2021</t>
        </is>
      </c>
      <c r="B163" s="1" t="n">
        <v>44297</v>
      </c>
      <c r="C163" s="1" t="n">
        <v>45509</v>
      </c>
      <c r="D163" t="inlineStr">
        <is>
          <t>ÖREBRO LÄN</t>
        </is>
      </c>
      <c r="E163" t="inlineStr">
        <is>
          <t>LAXÅ</t>
        </is>
      </c>
      <c r="F163" t="inlineStr">
        <is>
          <t>Sveaskog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17084-2021</t>
        </is>
      </c>
      <c r="B164" s="1" t="n">
        <v>44297</v>
      </c>
      <c r="C164" s="1" t="n">
        <v>45509</v>
      </c>
      <c r="D164" t="inlineStr">
        <is>
          <t>ÖREBRO LÄN</t>
        </is>
      </c>
      <c r="E164" t="inlineStr">
        <is>
          <t>LAXÅ</t>
        </is>
      </c>
      <c r="F164" t="inlineStr">
        <is>
          <t>Sveaskog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17078-2021</t>
        </is>
      </c>
      <c r="B165" s="1" t="n">
        <v>44297</v>
      </c>
      <c r="C165" s="1" t="n">
        <v>45509</v>
      </c>
      <c r="D165" t="inlineStr">
        <is>
          <t>ÖREBRO LÄN</t>
        </is>
      </c>
      <c r="E165" t="inlineStr">
        <is>
          <t>LAXÅ</t>
        </is>
      </c>
      <c r="F165" t="inlineStr">
        <is>
          <t>Sveaskog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17076-2021</t>
        </is>
      </c>
      <c r="B166" s="1" t="n">
        <v>44297</v>
      </c>
      <c r="C166" s="1" t="n">
        <v>45509</v>
      </c>
      <c r="D166" t="inlineStr">
        <is>
          <t>ÖREBRO LÄN</t>
        </is>
      </c>
      <c r="E166" t="inlineStr">
        <is>
          <t>LAXÅ</t>
        </is>
      </c>
      <c r="F166" t="inlineStr">
        <is>
          <t>Sveaskog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19774-2021</t>
        </is>
      </c>
      <c r="B167" s="1" t="n">
        <v>44309</v>
      </c>
      <c r="C167" s="1" t="n">
        <v>45509</v>
      </c>
      <c r="D167" t="inlineStr">
        <is>
          <t>ÖREBRO LÄN</t>
        </is>
      </c>
      <c r="E167" t="inlineStr">
        <is>
          <t>LAXÅ</t>
        </is>
      </c>
      <c r="G167" t="n">
        <v>6.6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21520-2021</t>
        </is>
      </c>
      <c r="B168" s="1" t="n">
        <v>44321</v>
      </c>
      <c r="C168" s="1" t="n">
        <v>45509</v>
      </c>
      <c r="D168" t="inlineStr">
        <is>
          <t>ÖREBRO LÄN</t>
        </is>
      </c>
      <c r="E168" t="inlineStr">
        <is>
          <t>LAXÅ</t>
        </is>
      </c>
      <c r="F168" t="inlineStr">
        <is>
          <t>Sveaskog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21539-2021</t>
        </is>
      </c>
      <c r="B169" s="1" t="n">
        <v>44321</v>
      </c>
      <c r="C169" s="1" t="n">
        <v>45509</v>
      </c>
      <c r="D169" t="inlineStr">
        <is>
          <t>ÖREBRO LÄN</t>
        </is>
      </c>
      <c r="E169" t="inlineStr">
        <is>
          <t>LAXÅ</t>
        </is>
      </c>
      <c r="F169" t="inlineStr">
        <is>
          <t>Sveaskog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21549-2021</t>
        </is>
      </c>
      <c r="B170" s="1" t="n">
        <v>44321</v>
      </c>
      <c r="C170" s="1" t="n">
        <v>45509</v>
      </c>
      <c r="D170" t="inlineStr">
        <is>
          <t>ÖREBRO LÄN</t>
        </is>
      </c>
      <c r="E170" t="inlineStr">
        <is>
          <t>LAXÅ</t>
        </is>
      </c>
      <c r="F170" t="inlineStr">
        <is>
          <t>Sveaskog</t>
        </is>
      </c>
      <c r="G170" t="n">
        <v>9.699999999999999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21771-2021</t>
        </is>
      </c>
      <c r="B171" s="1" t="n">
        <v>44322</v>
      </c>
      <c r="C171" s="1" t="n">
        <v>45509</v>
      </c>
      <c r="D171" t="inlineStr">
        <is>
          <t>ÖREBRO LÄN</t>
        </is>
      </c>
      <c r="E171" t="inlineStr">
        <is>
          <t>LAXÅ</t>
        </is>
      </c>
      <c r="F171" t="inlineStr">
        <is>
          <t>Sveaskog</t>
        </is>
      </c>
      <c r="G171" t="n">
        <v>4.8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22804-2021</t>
        </is>
      </c>
      <c r="B172" s="1" t="n">
        <v>44328</v>
      </c>
      <c r="C172" s="1" t="n">
        <v>45509</v>
      </c>
      <c r="D172" t="inlineStr">
        <is>
          <t>ÖREBRO LÄN</t>
        </is>
      </c>
      <c r="E172" t="inlineStr">
        <is>
          <t>LAXÅ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22927-2021</t>
        </is>
      </c>
      <c r="B173" s="1" t="n">
        <v>44328</v>
      </c>
      <c r="C173" s="1" t="n">
        <v>45509</v>
      </c>
      <c r="D173" t="inlineStr">
        <is>
          <t>ÖREBRO LÄN</t>
        </is>
      </c>
      <c r="E173" t="inlineStr">
        <is>
          <t>LAXÅ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22810-2021</t>
        </is>
      </c>
      <c r="B174" s="1" t="n">
        <v>44328</v>
      </c>
      <c r="C174" s="1" t="n">
        <v>45509</v>
      </c>
      <c r="D174" t="inlineStr">
        <is>
          <t>ÖREBRO LÄN</t>
        </is>
      </c>
      <c r="E174" t="inlineStr">
        <is>
          <t>LAXÅ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22964-2021</t>
        </is>
      </c>
      <c r="B175" s="1" t="n">
        <v>44328</v>
      </c>
      <c r="C175" s="1" t="n">
        <v>45509</v>
      </c>
      <c r="D175" t="inlineStr">
        <is>
          <t>ÖREBRO LÄN</t>
        </is>
      </c>
      <c r="E175" t="inlineStr">
        <is>
          <t>LAXÅ</t>
        </is>
      </c>
      <c r="G175" t="n">
        <v>6.3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22970-2021</t>
        </is>
      </c>
      <c r="B176" s="1" t="n">
        <v>44328</v>
      </c>
      <c r="C176" s="1" t="n">
        <v>45509</v>
      </c>
      <c r="D176" t="inlineStr">
        <is>
          <t>ÖREBRO LÄN</t>
        </is>
      </c>
      <c r="E176" t="inlineStr">
        <is>
          <t>LAXÅ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23229-2021</t>
        </is>
      </c>
      <c r="B177" s="1" t="n">
        <v>44333</v>
      </c>
      <c r="C177" s="1" t="n">
        <v>45509</v>
      </c>
      <c r="D177" t="inlineStr">
        <is>
          <t>ÖREBRO LÄN</t>
        </is>
      </c>
      <c r="E177" t="inlineStr">
        <is>
          <t>LAXÅ</t>
        </is>
      </c>
      <c r="F177" t="inlineStr">
        <is>
          <t>Sveaskog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24200-2021</t>
        </is>
      </c>
      <c r="B178" s="1" t="n">
        <v>44336</v>
      </c>
      <c r="C178" s="1" t="n">
        <v>45509</v>
      </c>
      <c r="D178" t="inlineStr">
        <is>
          <t>ÖREBRO LÄN</t>
        </is>
      </c>
      <c r="E178" t="inlineStr">
        <is>
          <t>LAXÅ</t>
        </is>
      </c>
      <c r="F178" t="inlineStr">
        <is>
          <t>Sveaskog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24967-2021</t>
        </is>
      </c>
      <c r="B179" s="1" t="n">
        <v>44341</v>
      </c>
      <c r="C179" s="1" t="n">
        <v>45509</v>
      </c>
      <c r="D179" t="inlineStr">
        <is>
          <t>ÖREBRO LÄN</t>
        </is>
      </c>
      <c r="E179" t="inlineStr">
        <is>
          <t>LAXÅ</t>
        </is>
      </c>
      <c r="F179" t="inlineStr">
        <is>
          <t>Sveaskog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25710-2021</t>
        </is>
      </c>
      <c r="B180" s="1" t="n">
        <v>44343</v>
      </c>
      <c r="C180" s="1" t="n">
        <v>45509</v>
      </c>
      <c r="D180" t="inlineStr">
        <is>
          <t>ÖREBRO LÄN</t>
        </is>
      </c>
      <c r="E180" t="inlineStr">
        <is>
          <t>LAXÅ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27502-2021</t>
        </is>
      </c>
      <c r="B181" s="1" t="n">
        <v>44351</v>
      </c>
      <c r="C181" s="1" t="n">
        <v>45509</v>
      </c>
      <c r="D181" t="inlineStr">
        <is>
          <t>ÖREBRO LÄN</t>
        </is>
      </c>
      <c r="E181" t="inlineStr">
        <is>
          <t>LAXÅ</t>
        </is>
      </c>
      <c r="F181" t="inlineStr">
        <is>
          <t>Sveaskog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28859-2021</t>
        </is>
      </c>
      <c r="B182" s="1" t="n">
        <v>44357</v>
      </c>
      <c r="C182" s="1" t="n">
        <v>45509</v>
      </c>
      <c r="D182" t="inlineStr">
        <is>
          <t>ÖREBRO LÄN</t>
        </is>
      </c>
      <c r="E182" t="inlineStr">
        <is>
          <t>LAXÅ</t>
        </is>
      </c>
      <c r="F182" t="inlineStr">
        <is>
          <t>Sveaskog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28861-2021</t>
        </is>
      </c>
      <c r="B183" s="1" t="n">
        <v>44357</v>
      </c>
      <c r="C183" s="1" t="n">
        <v>45509</v>
      </c>
      <c r="D183" t="inlineStr">
        <is>
          <t>ÖREBRO LÄN</t>
        </is>
      </c>
      <c r="E183" t="inlineStr">
        <is>
          <t>LAXÅ</t>
        </is>
      </c>
      <c r="F183" t="inlineStr">
        <is>
          <t>Sveaskog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28858-2021</t>
        </is>
      </c>
      <c r="B184" s="1" t="n">
        <v>44357</v>
      </c>
      <c r="C184" s="1" t="n">
        <v>45509</v>
      </c>
      <c r="D184" t="inlineStr">
        <is>
          <t>ÖREBRO LÄN</t>
        </is>
      </c>
      <c r="E184" t="inlineStr">
        <is>
          <t>LAXÅ</t>
        </is>
      </c>
      <c r="F184" t="inlineStr">
        <is>
          <t>Sveaskog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28863-2021</t>
        </is>
      </c>
      <c r="B185" s="1" t="n">
        <v>44357</v>
      </c>
      <c r="C185" s="1" t="n">
        <v>45509</v>
      </c>
      <c r="D185" t="inlineStr">
        <is>
          <t>ÖREBRO LÄN</t>
        </is>
      </c>
      <c r="E185" t="inlineStr">
        <is>
          <t>LAXÅ</t>
        </is>
      </c>
      <c r="F185" t="inlineStr">
        <is>
          <t>Sveaskog</t>
        </is>
      </c>
      <c r="G185" t="n">
        <v>4.8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28860-2021</t>
        </is>
      </c>
      <c r="B186" s="1" t="n">
        <v>44357</v>
      </c>
      <c r="C186" s="1" t="n">
        <v>45509</v>
      </c>
      <c r="D186" t="inlineStr">
        <is>
          <t>ÖREBRO LÄN</t>
        </is>
      </c>
      <c r="E186" t="inlineStr">
        <is>
          <t>LAXÅ</t>
        </is>
      </c>
      <c r="F186" t="inlineStr">
        <is>
          <t>Sveaskog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29560-2021</t>
        </is>
      </c>
      <c r="B187" s="1" t="n">
        <v>44361</v>
      </c>
      <c r="C187" s="1" t="n">
        <v>45509</v>
      </c>
      <c r="D187" t="inlineStr">
        <is>
          <t>ÖREBRO LÄN</t>
        </is>
      </c>
      <c r="E187" t="inlineStr">
        <is>
          <t>LAXÅ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30078-2021</t>
        </is>
      </c>
      <c r="B188" s="1" t="n">
        <v>44363</v>
      </c>
      <c r="C188" s="1" t="n">
        <v>45509</v>
      </c>
      <c r="D188" t="inlineStr">
        <is>
          <t>ÖREBRO LÄN</t>
        </is>
      </c>
      <c r="E188" t="inlineStr">
        <is>
          <t>LAXÅ</t>
        </is>
      </c>
      <c r="G188" t="n">
        <v>6.4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33654-2021</t>
        </is>
      </c>
      <c r="B189" s="1" t="n">
        <v>44378</v>
      </c>
      <c r="C189" s="1" t="n">
        <v>45509</v>
      </c>
      <c r="D189" t="inlineStr">
        <is>
          <t>ÖREBRO LÄN</t>
        </is>
      </c>
      <c r="E189" t="inlineStr">
        <is>
          <t>LAXÅ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33863-2021</t>
        </is>
      </c>
      <c r="B190" s="1" t="n">
        <v>44378</v>
      </c>
      <c r="C190" s="1" t="n">
        <v>45509</v>
      </c>
      <c r="D190" t="inlineStr">
        <is>
          <t>ÖREBRO LÄN</t>
        </is>
      </c>
      <c r="E190" t="inlineStr">
        <is>
          <t>LAXÅ</t>
        </is>
      </c>
      <c r="F190" t="inlineStr">
        <is>
          <t>Sveaskog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33848-2021</t>
        </is>
      </c>
      <c r="B191" s="1" t="n">
        <v>44378</v>
      </c>
      <c r="C191" s="1" t="n">
        <v>45509</v>
      </c>
      <c r="D191" t="inlineStr">
        <is>
          <t>ÖREBRO LÄN</t>
        </is>
      </c>
      <c r="E191" t="inlineStr">
        <is>
          <t>LAXÅ</t>
        </is>
      </c>
      <c r="F191" t="inlineStr">
        <is>
          <t>Sveaskog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33862-2021</t>
        </is>
      </c>
      <c r="B192" s="1" t="n">
        <v>44378</v>
      </c>
      <c r="C192" s="1" t="n">
        <v>45509</v>
      </c>
      <c r="D192" t="inlineStr">
        <is>
          <t>ÖREBRO LÄN</t>
        </is>
      </c>
      <c r="E192" t="inlineStr">
        <is>
          <t>LAXÅ</t>
        </is>
      </c>
      <c r="F192" t="inlineStr">
        <is>
          <t>Sveaskog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34082-2021</t>
        </is>
      </c>
      <c r="B193" s="1" t="n">
        <v>44379</v>
      </c>
      <c r="C193" s="1" t="n">
        <v>45509</v>
      </c>
      <c r="D193" t="inlineStr">
        <is>
          <t>ÖREBRO LÄN</t>
        </is>
      </c>
      <c r="E193" t="inlineStr">
        <is>
          <t>LAXÅ</t>
        </is>
      </c>
      <c r="F193" t="inlineStr">
        <is>
          <t>Sveaskog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34143-2021</t>
        </is>
      </c>
      <c r="B194" s="1" t="n">
        <v>44379</v>
      </c>
      <c r="C194" s="1" t="n">
        <v>45509</v>
      </c>
      <c r="D194" t="inlineStr">
        <is>
          <t>ÖREBRO LÄN</t>
        </is>
      </c>
      <c r="E194" t="inlineStr">
        <is>
          <t>LAXÅ</t>
        </is>
      </c>
      <c r="F194" t="inlineStr">
        <is>
          <t>Sveaskog</t>
        </is>
      </c>
      <c r="G194" t="n">
        <v>4.9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34158-2021</t>
        </is>
      </c>
      <c r="B195" s="1" t="n">
        <v>44379</v>
      </c>
      <c r="C195" s="1" t="n">
        <v>45509</v>
      </c>
      <c r="D195" t="inlineStr">
        <is>
          <t>ÖREBRO LÄN</t>
        </is>
      </c>
      <c r="E195" t="inlineStr">
        <is>
          <t>LAXÅ</t>
        </is>
      </c>
      <c r="F195" t="inlineStr">
        <is>
          <t>Sveaskog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34161-2021</t>
        </is>
      </c>
      <c r="B196" s="1" t="n">
        <v>44379</v>
      </c>
      <c r="C196" s="1" t="n">
        <v>45509</v>
      </c>
      <c r="D196" t="inlineStr">
        <is>
          <t>ÖREBRO LÄN</t>
        </is>
      </c>
      <c r="E196" t="inlineStr">
        <is>
          <t>LAXÅ</t>
        </is>
      </c>
      <c r="F196" t="inlineStr">
        <is>
          <t>Sveaskog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34137-2021</t>
        </is>
      </c>
      <c r="B197" s="1" t="n">
        <v>44379</v>
      </c>
      <c r="C197" s="1" t="n">
        <v>45509</v>
      </c>
      <c r="D197" t="inlineStr">
        <is>
          <t>ÖREBRO LÄN</t>
        </is>
      </c>
      <c r="E197" t="inlineStr">
        <is>
          <t>LAXÅ</t>
        </is>
      </c>
      <c r="F197" t="inlineStr">
        <is>
          <t>Sveaskog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34515-2021</t>
        </is>
      </c>
      <c r="B198" s="1" t="n">
        <v>44379</v>
      </c>
      <c r="C198" s="1" t="n">
        <v>45509</v>
      </c>
      <c r="D198" t="inlineStr">
        <is>
          <t>ÖREBRO LÄN</t>
        </is>
      </c>
      <c r="E198" t="inlineStr">
        <is>
          <t>LAXÅ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34156-2021</t>
        </is>
      </c>
      <c r="B199" s="1" t="n">
        <v>44379</v>
      </c>
      <c r="C199" s="1" t="n">
        <v>45509</v>
      </c>
      <c r="D199" t="inlineStr">
        <is>
          <t>ÖREBRO LÄN</t>
        </is>
      </c>
      <c r="E199" t="inlineStr">
        <is>
          <t>LAXÅ</t>
        </is>
      </c>
      <c r="F199" t="inlineStr">
        <is>
          <t>Sveaskog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34668-2021</t>
        </is>
      </c>
      <c r="B200" s="1" t="n">
        <v>44382</v>
      </c>
      <c r="C200" s="1" t="n">
        <v>45509</v>
      </c>
      <c r="D200" t="inlineStr">
        <is>
          <t>ÖREBRO LÄN</t>
        </is>
      </c>
      <c r="E200" t="inlineStr">
        <is>
          <t>LAXÅ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36900-2021</t>
        </is>
      </c>
      <c r="B201" s="1" t="n">
        <v>44393</v>
      </c>
      <c r="C201" s="1" t="n">
        <v>45509</v>
      </c>
      <c r="D201" t="inlineStr">
        <is>
          <t>ÖREBRO LÄN</t>
        </is>
      </c>
      <c r="E201" t="inlineStr">
        <is>
          <t>LAXÅ</t>
        </is>
      </c>
      <c r="F201" t="inlineStr">
        <is>
          <t>Sveaskog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36908-2021</t>
        </is>
      </c>
      <c r="B202" s="1" t="n">
        <v>44393</v>
      </c>
      <c r="C202" s="1" t="n">
        <v>45509</v>
      </c>
      <c r="D202" t="inlineStr">
        <is>
          <t>ÖREBRO LÄN</t>
        </is>
      </c>
      <c r="E202" t="inlineStr">
        <is>
          <t>LAXÅ</t>
        </is>
      </c>
      <c r="F202" t="inlineStr">
        <is>
          <t>Sveaskog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36884-2021</t>
        </is>
      </c>
      <c r="B203" s="1" t="n">
        <v>44393</v>
      </c>
      <c r="C203" s="1" t="n">
        <v>45509</v>
      </c>
      <c r="D203" t="inlineStr">
        <is>
          <t>ÖREBRO LÄN</t>
        </is>
      </c>
      <c r="E203" t="inlineStr">
        <is>
          <t>LAXÅ</t>
        </is>
      </c>
      <c r="F203" t="inlineStr">
        <is>
          <t>Sveaskog</t>
        </is>
      </c>
      <c r="G203" t="n">
        <v>12.5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36880-2021</t>
        </is>
      </c>
      <c r="B204" s="1" t="n">
        <v>44393</v>
      </c>
      <c r="C204" s="1" t="n">
        <v>45509</v>
      </c>
      <c r="D204" t="inlineStr">
        <is>
          <t>ÖREBRO LÄN</t>
        </is>
      </c>
      <c r="E204" t="inlineStr">
        <is>
          <t>LAXÅ</t>
        </is>
      </c>
      <c r="F204" t="inlineStr">
        <is>
          <t>Sveaskog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36889-2021</t>
        </is>
      </c>
      <c r="B205" s="1" t="n">
        <v>44393</v>
      </c>
      <c r="C205" s="1" t="n">
        <v>45509</v>
      </c>
      <c r="D205" t="inlineStr">
        <is>
          <t>ÖREBRO LÄN</t>
        </is>
      </c>
      <c r="E205" t="inlineStr">
        <is>
          <t>LAXÅ</t>
        </is>
      </c>
      <c r="F205" t="inlineStr">
        <is>
          <t>Sveaskog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36902-2021</t>
        </is>
      </c>
      <c r="B206" s="1" t="n">
        <v>44393</v>
      </c>
      <c r="C206" s="1" t="n">
        <v>45509</v>
      </c>
      <c r="D206" t="inlineStr">
        <is>
          <t>ÖREBRO LÄN</t>
        </is>
      </c>
      <c r="E206" t="inlineStr">
        <is>
          <t>LAXÅ</t>
        </is>
      </c>
      <c r="F206" t="inlineStr">
        <is>
          <t>Sveaskog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36910-2021</t>
        </is>
      </c>
      <c r="B207" s="1" t="n">
        <v>44393</v>
      </c>
      <c r="C207" s="1" t="n">
        <v>45509</v>
      </c>
      <c r="D207" t="inlineStr">
        <is>
          <t>ÖREBRO LÄN</t>
        </is>
      </c>
      <c r="E207" t="inlineStr">
        <is>
          <t>LAXÅ</t>
        </is>
      </c>
      <c r="F207" t="inlineStr">
        <is>
          <t>Sveaskog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36925-2021</t>
        </is>
      </c>
      <c r="B208" s="1" t="n">
        <v>44393</v>
      </c>
      <c r="C208" s="1" t="n">
        <v>45509</v>
      </c>
      <c r="D208" t="inlineStr">
        <is>
          <t>ÖREBRO LÄN</t>
        </is>
      </c>
      <c r="E208" t="inlineStr">
        <is>
          <t>LAXÅ</t>
        </is>
      </c>
      <c r="F208" t="inlineStr">
        <is>
          <t>Sveaskog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36897-2021</t>
        </is>
      </c>
      <c r="B209" s="1" t="n">
        <v>44393</v>
      </c>
      <c r="C209" s="1" t="n">
        <v>45509</v>
      </c>
      <c r="D209" t="inlineStr">
        <is>
          <t>ÖREBRO LÄN</t>
        </is>
      </c>
      <c r="E209" t="inlineStr">
        <is>
          <t>LAXÅ</t>
        </is>
      </c>
      <c r="F209" t="inlineStr">
        <is>
          <t>Sveaskog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36901-2021</t>
        </is>
      </c>
      <c r="B210" s="1" t="n">
        <v>44393</v>
      </c>
      <c r="C210" s="1" t="n">
        <v>45509</v>
      </c>
      <c r="D210" t="inlineStr">
        <is>
          <t>ÖREBRO LÄN</t>
        </is>
      </c>
      <c r="E210" t="inlineStr">
        <is>
          <t>LAXÅ</t>
        </is>
      </c>
      <c r="F210" t="inlineStr">
        <is>
          <t>Sveaskog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36909-2021</t>
        </is>
      </c>
      <c r="B211" s="1" t="n">
        <v>44393</v>
      </c>
      <c r="C211" s="1" t="n">
        <v>45509</v>
      </c>
      <c r="D211" t="inlineStr">
        <is>
          <t>ÖREBRO LÄN</t>
        </is>
      </c>
      <c r="E211" t="inlineStr">
        <is>
          <t>LAXÅ</t>
        </is>
      </c>
      <c r="F211" t="inlineStr">
        <is>
          <t>Sveaskog</t>
        </is>
      </c>
      <c r="G211" t="n">
        <v>8.5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36928-2021</t>
        </is>
      </c>
      <c r="B212" s="1" t="n">
        <v>44393</v>
      </c>
      <c r="C212" s="1" t="n">
        <v>45509</v>
      </c>
      <c r="D212" t="inlineStr">
        <is>
          <t>ÖREBRO LÄN</t>
        </is>
      </c>
      <c r="E212" t="inlineStr">
        <is>
          <t>LAXÅ</t>
        </is>
      </c>
      <c r="F212" t="inlineStr">
        <is>
          <t>Sveaskog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36891-2021</t>
        </is>
      </c>
      <c r="B213" s="1" t="n">
        <v>44393</v>
      </c>
      <c r="C213" s="1" t="n">
        <v>45509</v>
      </c>
      <c r="D213" t="inlineStr">
        <is>
          <t>ÖREBRO LÄN</t>
        </is>
      </c>
      <c r="E213" t="inlineStr">
        <is>
          <t>LAXÅ</t>
        </is>
      </c>
      <c r="F213" t="inlineStr">
        <is>
          <t>Sveaskog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36899-2021</t>
        </is>
      </c>
      <c r="B214" s="1" t="n">
        <v>44393</v>
      </c>
      <c r="C214" s="1" t="n">
        <v>45509</v>
      </c>
      <c r="D214" t="inlineStr">
        <is>
          <t>ÖREBRO LÄN</t>
        </is>
      </c>
      <c r="E214" t="inlineStr">
        <is>
          <t>LAXÅ</t>
        </is>
      </c>
      <c r="F214" t="inlineStr">
        <is>
          <t>Sveaskog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36906-2021</t>
        </is>
      </c>
      <c r="B215" s="1" t="n">
        <v>44393</v>
      </c>
      <c r="C215" s="1" t="n">
        <v>45509</v>
      </c>
      <c r="D215" t="inlineStr">
        <is>
          <t>ÖREBRO LÄN</t>
        </is>
      </c>
      <c r="E215" t="inlineStr">
        <is>
          <t>LAXÅ</t>
        </is>
      </c>
      <c r="F215" t="inlineStr">
        <is>
          <t>Sveaskog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36911-2021</t>
        </is>
      </c>
      <c r="B216" s="1" t="n">
        <v>44393</v>
      </c>
      <c r="C216" s="1" t="n">
        <v>45509</v>
      </c>
      <c r="D216" t="inlineStr">
        <is>
          <t>ÖREBRO LÄN</t>
        </is>
      </c>
      <c r="E216" t="inlineStr">
        <is>
          <t>LAXÅ</t>
        </is>
      </c>
      <c r="F216" t="inlineStr">
        <is>
          <t>Sveaskog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36926-2021</t>
        </is>
      </c>
      <c r="B217" s="1" t="n">
        <v>44393</v>
      </c>
      <c r="C217" s="1" t="n">
        <v>45509</v>
      </c>
      <c r="D217" t="inlineStr">
        <is>
          <t>ÖREBRO LÄN</t>
        </is>
      </c>
      <c r="E217" t="inlineStr">
        <is>
          <t>LAXÅ</t>
        </is>
      </c>
      <c r="F217" t="inlineStr">
        <is>
          <t>Sveaskog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38268-2021</t>
        </is>
      </c>
      <c r="B218" s="1" t="n">
        <v>44405</v>
      </c>
      <c r="C218" s="1" t="n">
        <v>45509</v>
      </c>
      <c r="D218" t="inlineStr">
        <is>
          <t>ÖREBRO LÄN</t>
        </is>
      </c>
      <c r="E218" t="inlineStr">
        <is>
          <t>LAXÅ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40980-2021</t>
        </is>
      </c>
      <c r="B219" s="1" t="n">
        <v>44421</v>
      </c>
      <c r="C219" s="1" t="n">
        <v>45509</v>
      </c>
      <c r="D219" t="inlineStr">
        <is>
          <t>ÖREBRO LÄN</t>
        </is>
      </c>
      <c r="E219" t="inlineStr">
        <is>
          <t>LAXÅ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42184-2021</t>
        </is>
      </c>
      <c r="B220" s="1" t="n">
        <v>44426</v>
      </c>
      <c r="C220" s="1" t="n">
        <v>45509</v>
      </c>
      <c r="D220" t="inlineStr">
        <is>
          <t>ÖREBRO LÄN</t>
        </is>
      </c>
      <c r="E220" t="inlineStr">
        <is>
          <t>LAXÅ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42185-2021</t>
        </is>
      </c>
      <c r="B221" s="1" t="n">
        <v>44426</v>
      </c>
      <c r="C221" s="1" t="n">
        <v>45509</v>
      </c>
      <c r="D221" t="inlineStr">
        <is>
          <t>ÖREBRO LÄN</t>
        </is>
      </c>
      <c r="E221" t="inlineStr">
        <is>
          <t>LAXÅ</t>
        </is>
      </c>
      <c r="F221" t="inlineStr">
        <is>
          <t>Sveaskog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42189-2021</t>
        </is>
      </c>
      <c r="B222" s="1" t="n">
        <v>44426</v>
      </c>
      <c r="C222" s="1" t="n">
        <v>45509</v>
      </c>
      <c r="D222" t="inlineStr">
        <is>
          <t>ÖREBRO LÄN</t>
        </is>
      </c>
      <c r="E222" t="inlineStr">
        <is>
          <t>LAXÅ</t>
        </is>
      </c>
      <c r="F222" t="inlineStr">
        <is>
          <t>Sveaskog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42395-2021</t>
        </is>
      </c>
      <c r="B223" s="1" t="n">
        <v>44427</v>
      </c>
      <c r="C223" s="1" t="n">
        <v>45509</v>
      </c>
      <c r="D223" t="inlineStr">
        <is>
          <t>ÖREBRO LÄN</t>
        </is>
      </c>
      <c r="E223" t="inlineStr">
        <is>
          <t>LAXÅ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43796-2021</t>
        </is>
      </c>
      <c r="B224" s="1" t="n">
        <v>44433</v>
      </c>
      <c r="C224" s="1" t="n">
        <v>45509</v>
      </c>
      <c r="D224" t="inlineStr">
        <is>
          <t>ÖREBRO LÄN</t>
        </is>
      </c>
      <c r="E224" t="inlineStr">
        <is>
          <t>LAXÅ</t>
        </is>
      </c>
      <c r="F224" t="inlineStr">
        <is>
          <t>Sveaskog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44099-2021</t>
        </is>
      </c>
      <c r="B225" s="1" t="n">
        <v>44434</v>
      </c>
      <c r="C225" s="1" t="n">
        <v>45509</v>
      </c>
      <c r="D225" t="inlineStr">
        <is>
          <t>ÖREBRO LÄN</t>
        </is>
      </c>
      <c r="E225" t="inlineStr">
        <is>
          <t>LAXÅ</t>
        </is>
      </c>
      <c r="F225" t="inlineStr">
        <is>
          <t>Sveaskog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46134-2021</t>
        </is>
      </c>
      <c r="B226" s="1" t="n">
        <v>44441</v>
      </c>
      <c r="C226" s="1" t="n">
        <v>45509</v>
      </c>
      <c r="D226" t="inlineStr">
        <is>
          <t>ÖREBRO LÄN</t>
        </is>
      </c>
      <c r="E226" t="inlineStr">
        <is>
          <t>LAXÅ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46487-2021</t>
        </is>
      </c>
      <c r="B227" s="1" t="n">
        <v>44445</v>
      </c>
      <c r="C227" s="1" t="n">
        <v>45509</v>
      </c>
      <c r="D227" t="inlineStr">
        <is>
          <t>ÖREBRO LÄN</t>
        </is>
      </c>
      <c r="E227" t="inlineStr">
        <is>
          <t>LAXÅ</t>
        </is>
      </c>
      <c r="F227" t="inlineStr">
        <is>
          <t>Sveaskog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46484-2021</t>
        </is>
      </c>
      <c r="B228" s="1" t="n">
        <v>44445</v>
      </c>
      <c r="C228" s="1" t="n">
        <v>45509</v>
      </c>
      <c r="D228" t="inlineStr">
        <is>
          <t>ÖREBRO LÄN</t>
        </is>
      </c>
      <c r="E228" t="inlineStr">
        <is>
          <t>LAXÅ</t>
        </is>
      </c>
      <c r="F228" t="inlineStr">
        <is>
          <t>Sveaskog</t>
        </is>
      </c>
      <c r="G228" t="n">
        <v>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48216-2021</t>
        </is>
      </c>
      <c r="B229" s="1" t="n">
        <v>44449</v>
      </c>
      <c r="C229" s="1" t="n">
        <v>45509</v>
      </c>
      <c r="D229" t="inlineStr">
        <is>
          <t>ÖREBRO LÄN</t>
        </is>
      </c>
      <c r="E229" t="inlineStr">
        <is>
          <t>LAXÅ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49974-2021</t>
        </is>
      </c>
      <c r="B230" s="1" t="n">
        <v>44456</v>
      </c>
      <c r="C230" s="1" t="n">
        <v>45509</v>
      </c>
      <c r="D230" t="inlineStr">
        <is>
          <t>ÖREBRO LÄN</t>
        </is>
      </c>
      <c r="E230" t="inlineStr">
        <is>
          <t>LAXÅ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50005-2021</t>
        </is>
      </c>
      <c r="B231" s="1" t="n">
        <v>44456</v>
      </c>
      <c r="C231" s="1" t="n">
        <v>45509</v>
      </c>
      <c r="D231" t="inlineStr">
        <is>
          <t>ÖREBRO LÄN</t>
        </is>
      </c>
      <c r="E231" t="inlineStr">
        <is>
          <t>LAXÅ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50543-2021</t>
        </is>
      </c>
      <c r="B232" s="1" t="n">
        <v>44459</v>
      </c>
      <c r="C232" s="1" t="n">
        <v>45509</v>
      </c>
      <c r="D232" t="inlineStr">
        <is>
          <t>ÖREBRO LÄN</t>
        </is>
      </c>
      <c r="E232" t="inlineStr">
        <is>
          <t>LAXÅ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52751-2021</t>
        </is>
      </c>
      <c r="B233" s="1" t="n">
        <v>44467</v>
      </c>
      <c r="C233" s="1" t="n">
        <v>45509</v>
      </c>
      <c r="D233" t="inlineStr">
        <is>
          <t>ÖREBRO LÄN</t>
        </is>
      </c>
      <c r="E233" t="inlineStr">
        <is>
          <t>LAXÅ</t>
        </is>
      </c>
      <c r="F233" t="inlineStr">
        <is>
          <t>Sveaskog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55027-2021</t>
        </is>
      </c>
      <c r="B234" s="1" t="n">
        <v>44474</v>
      </c>
      <c r="C234" s="1" t="n">
        <v>45509</v>
      </c>
      <c r="D234" t="inlineStr">
        <is>
          <t>ÖREBRO LÄN</t>
        </is>
      </c>
      <c r="E234" t="inlineStr">
        <is>
          <t>LAXÅ</t>
        </is>
      </c>
      <c r="G234" t="n">
        <v>8.300000000000001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55207-2021</t>
        </is>
      </c>
      <c r="B235" s="1" t="n">
        <v>44475</v>
      </c>
      <c r="C235" s="1" t="n">
        <v>45509</v>
      </c>
      <c r="D235" t="inlineStr">
        <is>
          <t>ÖREBRO LÄN</t>
        </is>
      </c>
      <c r="E235" t="inlineStr">
        <is>
          <t>LAXÅ</t>
        </is>
      </c>
      <c r="F235" t="inlineStr">
        <is>
          <t>Sveaskog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55212-2021</t>
        </is>
      </c>
      <c r="B236" s="1" t="n">
        <v>44475</v>
      </c>
      <c r="C236" s="1" t="n">
        <v>45509</v>
      </c>
      <c r="D236" t="inlineStr">
        <is>
          <t>ÖREBRO LÄN</t>
        </is>
      </c>
      <c r="E236" t="inlineStr">
        <is>
          <t>LAXÅ</t>
        </is>
      </c>
      <c r="F236" t="inlineStr">
        <is>
          <t>Sveaskog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55218-2021</t>
        </is>
      </c>
      <c r="B237" s="1" t="n">
        <v>44475</v>
      </c>
      <c r="C237" s="1" t="n">
        <v>45509</v>
      </c>
      <c r="D237" t="inlineStr">
        <is>
          <t>ÖREBRO LÄN</t>
        </is>
      </c>
      <c r="E237" t="inlineStr">
        <is>
          <t>LAXÅ</t>
        </is>
      </c>
      <c r="F237" t="inlineStr">
        <is>
          <t>Sveaskog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55214-2021</t>
        </is>
      </c>
      <c r="B238" s="1" t="n">
        <v>44475</v>
      </c>
      <c r="C238" s="1" t="n">
        <v>45509</v>
      </c>
      <c r="D238" t="inlineStr">
        <is>
          <t>ÖREBRO LÄN</t>
        </is>
      </c>
      <c r="E238" t="inlineStr">
        <is>
          <t>LAXÅ</t>
        </is>
      </c>
      <c r="F238" t="inlineStr">
        <is>
          <t>Sveaskog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57380-2021</t>
        </is>
      </c>
      <c r="B239" s="1" t="n">
        <v>44483</v>
      </c>
      <c r="C239" s="1" t="n">
        <v>45509</v>
      </c>
      <c r="D239" t="inlineStr">
        <is>
          <t>ÖREBRO LÄN</t>
        </is>
      </c>
      <c r="E239" t="inlineStr">
        <is>
          <t>LAXÅ</t>
        </is>
      </c>
      <c r="F239" t="inlineStr">
        <is>
          <t>Sveaskog</t>
        </is>
      </c>
      <c r="G239" t="n">
        <v>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57363-2021</t>
        </is>
      </c>
      <c r="B240" s="1" t="n">
        <v>44483</v>
      </c>
      <c r="C240" s="1" t="n">
        <v>45509</v>
      </c>
      <c r="D240" t="inlineStr">
        <is>
          <t>ÖREBRO LÄN</t>
        </is>
      </c>
      <c r="E240" t="inlineStr">
        <is>
          <t>LAXÅ</t>
        </is>
      </c>
      <c r="F240" t="inlineStr">
        <is>
          <t>Sveaskog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57377-2021</t>
        </is>
      </c>
      <c r="B241" s="1" t="n">
        <v>44483</v>
      </c>
      <c r="C241" s="1" t="n">
        <v>45509</v>
      </c>
      <c r="D241" t="inlineStr">
        <is>
          <t>ÖREBRO LÄN</t>
        </is>
      </c>
      <c r="E241" t="inlineStr">
        <is>
          <t>LAXÅ</t>
        </is>
      </c>
      <c r="F241" t="inlineStr">
        <is>
          <t>Sveaskog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57367-2021</t>
        </is>
      </c>
      <c r="B242" s="1" t="n">
        <v>44483</v>
      </c>
      <c r="C242" s="1" t="n">
        <v>45509</v>
      </c>
      <c r="D242" t="inlineStr">
        <is>
          <t>ÖREBRO LÄN</t>
        </is>
      </c>
      <c r="E242" t="inlineStr">
        <is>
          <t>LAXÅ</t>
        </is>
      </c>
      <c r="F242" t="inlineStr">
        <is>
          <t>Sveaskog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57375-2021</t>
        </is>
      </c>
      <c r="B243" s="1" t="n">
        <v>44483</v>
      </c>
      <c r="C243" s="1" t="n">
        <v>45509</v>
      </c>
      <c r="D243" t="inlineStr">
        <is>
          <t>ÖREBRO LÄN</t>
        </is>
      </c>
      <c r="E243" t="inlineStr">
        <is>
          <t>LAXÅ</t>
        </is>
      </c>
      <c r="F243" t="inlineStr">
        <is>
          <t>Sveaskog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57379-2021</t>
        </is>
      </c>
      <c r="B244" s="1" t="n">
        <v>44483</v>
      </c>
      <c r="C244" s="1" t="n">
        <v>45509</v>
      </c>
      <c r="D244" t="inlineStr">
        <is>
          <t>ÖREBRO LÄN</t>
        </is>
      </c>
      <c r="E244" t="inlineStr">
        <is>
          <t>LAXÅ</t>
        </is>
      </c>
      <c r="F244" t="inlineStr">
        <is>
          <t>Sveaskog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57364-2021</t>
        </is>
      </c>
      <c r="B245" s="1" t="n">
        <v>44483</v>
      </c>
      <c r="C245" s="1" t="n">
        <v>45509</v>
      </c>
      <c r="D245" t="inlineStr">
        <is>
          <t>ÖREBRO LÄN</t>
        </is>
      </c>
      <c r="E245" t="inlineStr">
        <is>
          <t>LAXÅ</t>
        </is>
      </c>
      <c r="F245" t="inlineStr">
        <is>
          <t>Sveaskog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57378-2021</t>
        </is>
      </c>
      <c r="B246" s="1" t="n">
        <v>44483</v>
      </c>
      <c r="C246" s="1" t="n">
        <v>45509</v>
      </c>
      <c r="D246" t="inlineStr">
        <is>
          <t>ÖREBRO LÄN</t>
        </is>
      </c>
      <c r="E246" t="inlineStr">
        <is>
          <t>LAXÅ</t>
        </is>
      </c>
      <c r="F246" t="inlineStr">
        <is>
          <t>Sveaskog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57806-2021</t>
        </is>
      </c>
      <c r="B247" s="1" t="n">
        <v>44484</v>
      </c>
      <c r="C247" s="1" t="n">
        <v>45509</v>
      </c>
      <c r="D247" t="inlineStr">
        <is>
          <t>ÖREBRO LÄN</t>
        </is>
      </c>
      <c r="E247" t="inlineStr">
        <is>
          <t>LAXÅ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57956-2021</t>
        </is>
      </c>
      <c r="B248" s="1" t="n">
        <v>44484</v>
      </c>
      <c r="C248" s="1" t="n">
        <v>45509</v>
      </c>
      <c r="D248" t="inlineStr">
        <is>
          <t>ÖREBRO LÄN</t>
        </is>
      </c>
      <c r="E248" t="inlineStr">
        <is>
          <t>LAXÅ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57959-2021</t>
        </is>
      </c>
      <c r="B249" s="1" t="n">
        <v>44484</v>
      </c>
      <c r="C249" s="1" t="n">
        <v>45509</v>
      </c>
      <c r="D249" t="inlineStr">
        <is>
          <t>ÖREBRO LÄN</t>
        </is>
      </c>
      <c r="E249" t="inlineStr">
        <is>
          <t>LAXÅ</t>
        </is>
      </c>
      <c r="G249" t="n">
        <v>5.3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59907-2021</t>
        </is>
      </c>
      <c r="B250" s="1" t="n">
        <v>44494</v>
      </c>
      <c r="C250" s="1" t="n">
        <v>45509</v>
      </c>
      <c r="D250" t="inlineStr">
        <is>
          <t>ÖREBRO LÄN</t>
        </is>
      </c>
      <c r="E250" t="inlineStr">
        <is>
          <t>LAXÅ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59892-2021</t>
        </is>
      </c>
      <c r="B251" s="1" t="n">
        <v>44494</v>
      </c>
      <c r="C251" s="1" t="n">
        <v>45509</v>
      </c>
      <c r="D251" t="inlineStr">
        <is>
          <t>ÖREBRO LÄN</t>
        </is>
      </c>
      <c r="E251" t="inlineStr">
        <is>
          <t>LAXÅ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63630-2021</t>
        </is>
      </c>
      <c r="B252" s="1" t="n">
        <v>44496</v>
      </c>
      <c r="C252" s="1" t="n">
        <v>45509</v>
      </c>
      <c r="D252" t="inlineStr">
        <is>
          <t>ÖREBRO LÄN</t>
        </is>
      </c>
      <c r="E252" t="inlineStr">
        <is>
          <t>LAXÅ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62437-2021</t>
        </is>
      </c>
      <c r="B253" s="1" t="n">
        <v>44503</v>
      </c>
      <c r="C253" s="1" t="n">
        <v>45509</v>
      </c>
      <c r="D253" t="inlineStr">
        <is>
          <t>ÖREBRO LÄN</t>
        </is>
      </c>
      <c r="E253" t="inlineStr">
        <is>
          <t>LAXÅ</t>
        </is>
      </c>
      <c r="F253" t="inlineStr">
        <is>
          <t>Sveaskog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62454-2021</t>
        </is>
      </c>
      <c r="B254" s="1" t="n">
        <v>44503</v>
      </c>
      <c r="C254" s="1" t="n">
        <v>45509</v>
      </c>
      <c r="D254" t="inlineStr">
        <is>
          <t>ÖREBRO LÄN</t>
        </is>
      </c>
      <c r="E254" t="inlineStr">
        <is>
          <t>LAXÅ</t>
        </is>
      </c>
      <c r="F254" t="inlineStr">
        <is>
          <t>Sveaskog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62458-2021</t>
        </is>
      </c>
      <c r="B255" s="1" t="n">
        <v>44503</v>
      </c>
      <c r="C255" s="1" t="n">
        <v>45509</v>
      </c>
      <c r="D255" t="inlineStr">
        <is>
          <t>ÖREBRO LÄN</t>
        </is>
      </c>
      <c r="E255" t="inlineStr">
        <is>
          <t>LAXÅ</t>
        </is>
      </c>
      <c r="F255" t="inlineStr">
        <is>
          <t>Sveaskog</t>
        </is>
      </c>
      <c r="G255" t="n">
        <v>11.2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62405-2021</t>
        </is>
      </c>
      <c r="B256" s="1" t="n">
        <v>44503</v>
      </c>
      <c r="C256" s="1" t="n">
        <v>45509</v>
      </c>
      <c r="D256" t="inlineStr">
        <is>
          <t>ÖREBRO LÄN</t>
        </is>
      </c>
      <c r="E256" t="inlineStr">
        <is>
          <t>LAXÅ</t>
        </is>
      </c>
      <c r="F256" t="inlineStr">
        <is>
          <t>Sveaskog</t>
        </is>
      </c>
      <c r="G256" t="n">
        <v>5.3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62428-2021</t>
        </is>
      </c>
      <c r="B257" s="1" t="n">
        <v>44503</v>
      </c>
      <c r="C257" s="1" t="n">
        <v>45509</v>
      </c>
      <c r="D257" t="inlineStr">
        <is>
          <t>ÖREBRO LÄN</t>
        </is>
      </c>
      <c r="E257" t="inlineStr">
        <is>
          <t>LAXÅ</t>
        </is>
      </c>
      <c r="F257" t="inlineStr">
        <is>
          <t>Sveaskog</t>
        </is>
      </c>
      <c r="G257" t="n">
        <v>4.4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62438-2021</t>
        </is>
      </c>
      <c r="B258" s="1" t="n">
        <v>44503</v>
      </c>
      <c r="C258" s="1" t="n">
        <v>45509</v>
      </c>
      <c r="D258" t="inlineStr">
        <is>
          <t>ÖREBRO LÄN</t>
        </is>
      </c>
      <c r="E258" t="inlineStr">
        <is>
          <t>LAXÅ</t>
        </is>
      </c>
      <c r="F258" t="inlineStr">
        <is>
          <t>Sveaskog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62455-2021</t>
        </is>
      </c>
      <c r="B259" s="1" t="n">
        <v>44503</v>
      </c>
      <c r="C259" s="1" t="n">
        <v>45509</v>
      </c>
      <c r="D259" t="inlineStr">
        <is>
          <t>ÖREBRO LÄN</t>
        </is>
      </c>
      <c r="E259" t="inlineStr">
        <is>
          <t>LAXÅ</t>
        </is>
      </c>
      <c r="F259" t="inlineStr">
        <is>
          <t>Sveaskog</t>
        </is>
      </c>
      <c r="G259" t="n">
        <v>5.2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62459-2021</t>
        </is>
      </c>
      <c r="B260" s="1" t="n">
        <v>44503</v>
      </c>
      <c r="C260" s="1" t="n">
        <v>45509</v>
      </c>
      <c r="D260" t="inlineStr">
        <is>
          <t>ÖREBRO LÄN</t>
        </is>
      </c>
      <c r="E260" t="inlineStr">
        <is>
          <t>LAXÅ</t>
        </is>
      </c>
      <c r="F260" t="inlineStr">
        <is>
          <t>Sveaskog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62439-2021</t>
        </is>
      </c>
      <c r="B261" s="1" t="n">
        <v>44503</v>
      </c>
      <c r="C261" s="1" t="n">
        <v>45509</v>
      </c>
      <c r="D261" t="inlineStr">
        <is>
          <t>ÖREBRO LÄN</t>
        </is>
      </c>
      <c r="E261" t="inlineStr">
        <is>
          <t>LAXÅ</t>
        </is>
      </c>
      <c r="F261" t="inlineStr">
        <is>
          <t>Sveaskog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62456-2021</t>
        </is>
      </c>
      <c r="B262" s="1" t="n">
        <v>44503</v>
      </c>
      <c r="C262" s="1" t="n">
        <v>45509</v>
      </c>
      <c r="D262" t="inlineStr">
        <is>
          <t>ÖREBRO LÄN</t>
        </is>
      </c>
      <c r="E262" t="inlineStr">
        <is>
          <t>LAXÅ</t>
        </is>
      </c>
      <c r="F262" t="inlineStr">
        <is>
          <t>Sveaskog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62460-2021</t>
        </is>
      </c>
      <c r="B263" s="1" t="n">
        <v>44503</v>
      </c>
      <c r="C263" s="1" t="n">
        <v>45509</v>
      </c>
      <c r="D263" t="inlineStr">
        <is>
          <t>ÖREBRO LÄN</t>
        </is>
      </c>
      <c r="E263" t="inlineStr">
        <is>
          <t>LAXÅ</t>
        </is>
      </c>
      <c r="F263" t="inlineStr">
        <is>
          <t>Sveaskog</t>
        </is>
      </c>
      <c r="G263" t="n">
        <v>6.8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62402-2021</t>
        </is>
      </c>
      <c r="B264" s="1" t="n">
        <v>44503</v>
      </c>
      <c r="C264" s="1" t="n">
        <v>45509</v>
      </c>
      <c r="D264" t="inlineStr">
        <is>
          <t>ÖREBRO LÄN</t>
        </is>
      </c>
      <c r="E264" t="inlineStr">
        <is>
          <t>LAXÅ</t>
        </is>
      </c>
      <c r="F264" t="inlineStr">
        <is>
          <t>Sveaskog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62423-2021</t>
        </is>
      </c>
      <c r="B265" s="1" t="n">
        <v>44503</v>
      </c>
      <c r="C265" s="1" t="n">
        <v>45509</v>
      </c>
      <c r="D265" t="inlineStr">
        <is>
          <t>ÖREBRO LÄN</t>
        </is>
      </c>
      <c r="E265" t="inlineStr">
        <is>
          <t>LAXÅ</t>
        </is>
      </c>
      <c r="F265" t="inlineStr">
        <is>
          <t>Sveaskog</t>
        </is>
      </c>
      <c r="G265" t="n">
        <v>5.5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62457-2021</t>
        </is>
      </c>
      <c r="B266" s="1" t="n">
        <v>44503</v>
      </c>
      <c r="C266" s="1" t="n">
        <v>45509</v>
      </c>
      <c r="D266" t="inlineStr">
        <is>
          <t>ÖREBRO LÄN</t>
        </is>
      </c>
      <c r="E266" t="inlineStr">
        <is>
          <t>LAXÅ</t>
        </is>
      </c>
      <c r="F266" t="inlineStr">
        <is>
          <t>Sveaskog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67054-2021</t>
        </is>
      </c>
      <c r="B267" s="1" t="n">
        <v>44522</v>
      </c>
      <c r="C267" s="1" t="n">
        <v>45509</v>
      </c>
      <c r="D267" t="inlineStr">
        <is>
          <t>ÖREBRO LÄN</t>
        </is>
      </c>
      <c r="E267" t="inlineStr">
        <is>
          <t>LAXÅ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67052-2021</t>
        </is>
      </c>
      <c r="B268" s="1" t="n">
        <v>44522</v>
      </c>
      <c r="C268" s="1" t="n">
        <v>45509</v>
      </c>
      <c r="D268" t="inlineStr">
        <is>
          <t>ÖREBRO LÄN</t>
        </is>
      </c>
      <c r="E268" t="inlineStr">
        <is>
          <t>LAXÅ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67053-2021</t>
        </is>
      </c>
      <c r="B269" s="1" t="n">
        <v>44522</v>
      </c>
      <c r="C269" s="1" t="n">
        <v>45509</v>
      </c>
      <c r="D269" t="inlineStr">
        <is>
          <t>ÖREBRO LÄN</t>
        </is>
      </c>
      <c r="E269" t="inlineStr">
        <is>
          <t>LAXÅ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67743-2021</t>
        </is>
      </c>
      <c r="B270" s="1" t="n">
        <v>44525</v>
      </c>
      <c r="C270" s="1" t="n">
        <v>45509</v>
      </c>
      <c r="D270" t="inlineStr">
        <is>
          <t>ÖREBRO LÄN</t>
        </is>
      </c>
      <c r="E270" t="inlineStr">
        <is>
          <t>LAXÅ</t>
        </is>
      </c>
      <c r="F270" t="inlineStr">
        <is>
          <t>Sveaskog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68239-2021</t>
        </is>
      </c>
      <c r="B271" s="1" t="n">
        <v>44526</v>
      </c>
      <c r="C271" s="1" t="n">
        <v>45509</v>
      </c>
      <c r="D271" t="inlineStr">
        <is>
          <t>ÖREBRO LÄN</t>
        </is>
      </c>
      <c r="E271" t="inlineStr">
        <is>
          <t>LAXÅ</t>
        </is>
      </c>
      <c r="F271" t="inlineStr">
        <is>
          <t>Sveaskog</t>
        </is>
      </c>
      <c r="G271" t="n">
        <v>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68240-2021</t>
        </is>
      </c>
      <c r="B272" s="1" t="n">
        <v>44526</v>
      </c>
      <c r="C272" s="1" t="n">
        <v>45509</v>
      </c>
      <c r="D272" t="inlineStr">
        <is>
          <t>ÖREBRO LÄN</t>
        </is>
      </c>
      <c r="E272" t="inlineStr">
        <is>
          <t>LAXÅ</t>
        </is>
      </c>
      <c r="F272" t="inlineStr">
        <is>
          <t>Sveaskog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68356-2021</t>
        </is>
      </c>
      <c r="B273" s="1" t="n">
        <v>44528</v>
      </c>
      <c r="C273" s="1" t="n">
        <v>45509</v>
      </c>
      <c r="D273" t="inlineStr">
        <is>
          <t>ÖREBRO LÄN</t>
        </is>
      </c>
      <c r="E273" t="inlineStr">
        <is>
          <t>LAXÅ</t>
        </is>
      </c>
      <c r="F273" t="inlineStr">
        <is>
          <t>Sveaskog</t>
        </is>
      </c>
      <c r="G273" t="n">
        <v>9.800000000000001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69035-2021</t>
        </is>
      </c>
      <c r="B274" s="1" t="n">
        <v>44530</v>
      </c>
      <c r="C274" s="1" t="n">
        <v>45509</v>
      </c>
      <c r="D274" t="inlineStr">
        <is>
          <t>ÖREBRO LÄN</t>
        </is>
      </c>
      <c r="E274" t="inlineStr">
        <is>
          <t>LAXÅ</t>
        </is>
      </c>
      <c r="F274" t="inlineStr">
        <is>
          <t>Sveaskog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70287-2021</t>
        </is>
      </c>
      <c r="B275" s="1" t="n">
        <v>44536</v>
      </c>
      <c r="C275" s="1" t="n">
        <v>45509</v>
      </c>
      <c r="D275" t="inlineStr">
        <is>
          <t>ÖREBRO LÄN</t>
        </is>
      </c>
      <c r="E275" t="inlineStr">
        <is>
          <t>LAXÅ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72354-2021</t>
        </is>
      </c>
      <c r="B276" s="1" t="n">
        <v>44545</v>
      </c>
      <c r="C276" s="1" t="n">
        <v>45509</v>
      </c>
      <c r="D276" t="inlineStr">
        <is>
          <t>ÖREBRO LÄN</t>
        </is>
      </c>
      <c r="E276" t="inlineStr">
        <is>
          <t>LAXÅ</t>
        </is>
      </c>
      <c r="F276" t="inlineStr">
        <is>
          <t>Sveaskog</t>
        </is>
      </c>
      <c r="G276" t="n">
        <v>4.7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951-2022</t>
        </is>
      </c>
      <c r="B277" s="1" t="n">
        <v>44571</v>
      </c>
      <c r="C277" s="1" t="n">
        <v>45509</v>
      </c>
      <c r="D277" t="inlineStr">
        <is>
          <t>ÖREBRO LÄN</t>
        </is>
      </c>
      <c r="E277" t="inlineStr">
        <is>
          <t>LAXÅ</t>
        </is>
      </c>
      <c r="F277" t="inlineStr">
        <is>
          <t>Sveaskog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978-2022</t>
        </is>
      </c>
      <c r="B278" s="1" t="n">
        <v>44571</v>
      </c>
      <c r="C278" s="1" t="n">
        <v>45509</v>
      </c>
      <c r="D278" t="inlineStr">
        <is>
          <t>ÖREBRO LÄN</t>
        </is>
      </c>
      <c r="E278" t="inlineStr">
        <is>
          <t>LAXÅ</t>
        </is>
      </c>
      <c r="F278" t="inlineStr">
        <is>
          <t>Sveaskog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1149-2022</t>
        </is>
      </c>
      <c r="B279" s="1" t="n">
        <v>44571</v>
      </c>
      <c r="C279" s="1" t="n">
        <v>45509</v>
      </c>
      <c r="D279" t="inlineStr">
        <is>
          <t>ÖREBRO LÄN</t>
        </is>
      </c>
      <c r="E279" t="inlineStr">
        <is>
          <t>LAXÅ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1153-2022</t>
        </is>
      </c>
      <c r="B280" s="1" t="n">
        <v>44571</v>
      </c>
      <c r="C280" s="1" t="n">
        <v>45509</v>
      </c>
      <c r="D280" t="inlineStr">
        <is>
          <t>ÖREBRO LÄN</t>
        </is>
      </c>
      <c r="E280" t="inlineStr">
        <is>
          <t>LAXÅ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1104-2022</t>
        </is>
      </c>
      <c r="B281" s="1" t="n">
        <v>44571</v>
      </c>
      <c r="C281" s="1" t="n">
        <v>45509</v>
      </c>
      <c r="D281" t="inlineStr">
        <is>
          <t>ÖREBRO LÄN</t>
        </is>
      </c>
      <c r="E281" t="inlineStr">
        <is>
          <t>LAXÅ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1121-2022</t>
        </is>
      </c>
      <c r="B282" s="1" t="n">
        <v>44571</v>
      </c>
      <c r="C282" s="1" t="n">
        <v>45509</v>
      </c>
      <c r="D282" t="inlineStr">
        <is>
          <t>ÖREBRO LÄN</t>
        </is>
      </c>
      <c r="E282" t="inlineStr">
        <is>
          <t>LAXÅ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2372-2022</t>
        </is>
      </c>
      <c r="B283" s="1" t="n">
        <v>44579</v>
      </c>
      <c r="C283" s="1" t="n">
        <v>45509</v>
      </c>
      <c r="D283" t="inlineStr">
        <is>
          <t>ÖREBRO LÄN</t>
        </is>
      </c>
      <c r="E283" t="inlineStr">
        <is>
          <t>LAXÅ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5441-2022</t>
        </is>
      </c>
      <c r="B284" s="1" t="n">
        <v>44595</v>
      </c>
      <c r="C284" s="1" t="n">
        <v>45509</v>
      </c>
      <c r="D284" t="inlineStr">
        <is>
          <t>ÖREBRO LÄN</t>
        </is>
      </c>
      <c r="E284" t="inlineStr">
        <is>
          <t>LAXÅ</t>
        </is>
      </c>
      <c r="G284" t="n">
        <v>6.5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5773-2022</t>
        </is>
      </c>
      <c r="B285" s="1" t="n">
        <v>44596</v>
      </c>
      <c r="C285" s="1" t="n">
        <v>45509</v>
      </c>
      <c r="D285" t="inlineStr">
        <is>
          <t>ÖREBRO LÄN</t>
        </is>
      </c>
      <c r="E285" t="inlineStr">
        <is>
          <t>LAXÅ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6842-2022</t>
        </is>
      </c>
      <c r="B286" s="1" t="n">
        <v>44602</v>
      </c>
      <c r="C286" s="1" t="n">
        <v>45509</v>
      </c>
      <c r="D286" t="inlineStr">
        <is>
          <t>ÖREBRO LÄN</t>
        </is>
      </c>
      <c r="E286" t="inlineStr">
        <is>
          <t>LAXÅ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7846-2022</t>
        </is>
      </c>
      <c r="B287" s="1" t="n">
        <v>44608</v>
      </c>
      <c r="C287" s="1" t="n">
        <v>45509</v>
      </c>
      <c r="D287" t="inlineStr">
        <is>
          <t>ÖREBRO LÄN</t>
        </is>
      </c>
      <c r="E287" t="inlineStr">
        <is>
          <t>LAXÅ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8898-2022</t>
        </is>
      </c>
      <c r="B288" s="1" t="n">
        <v>44614</v>
      </c>
      <c r="C288" s="1" t="n">
        <v>45509</v>
      </c>
      <c r="D288" t="inlineStr">
        <is>
          <t>ÖREBRO LÄN</t>
        </is>
      </c>
      <c r="E288" t="inlineStr">
        <is>
          <t>LAXÅ</t>
        </is>
      </c>
      <c r="F288" t="inlineStr">
        <is>
          <t>Kyrkan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9665-2022</t>
        </is>
      </c>
      <c r="B289" s="1" t="n">
        <v>44617</v>
      </c>
      <c r="C289" s="1" t="n">
        <v>45509</v>
      </c>
      <c r="D289" t="inlineStr">
        <is>
          <t>ÖREBRO LÄN</t>
        </is>
      </c>
      <c r="E289" t="inlineStr">
        <is>
          <t>LAXÅ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10069-2022</t>
        </is>
      </c>
      <c r="B290" s="1" t="n">
        <v>44621</v>
      </c>
      <c r="C290" s="1" t="n">
        <v>45509</v>
      </c>
      <c r="D290" t="inlineStr">
        <is>
          <t>ÖREBRO LÄN</t>
        </is>
      </c>
      <c r="E290" t="inlineStr">
        <is>
          <t>LAXÅ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10041-2022</t>
        </is>
      </c>
      <c r="B291" s="1" t="n">
        <v>44621</v>
      </c>
      <c r="C291" s="1" t="n">
        <v>45509</v>
      </c>
      <c r="D291" t="inlineStr">
        <is>
          <t>ÖREBRO LÄN</t>
        </is>
      </c>
      <c r="E291" t="inlineStr">
        <is>
          <t>LAXÅ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13078-2022</t>
        </is>
      </c>
      <c r="B292" s="1" t="n">
        <v>44643</v>
      </c>
      <c r="C292" s="1" t="n">
        <v>45509</v>
      </c>
      <c r="D292" t="inlineStr">
        <is>
          <t>ÖREBRO LÄN</t>
        </is>
      </c>
      <c r="E292" t="inlineStr">
        <is>
          <t>LAXÅ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15488-2022</t>
        </is>
      </c>
      <c r="B293" s="1" t="n">
        <v>44662</v>
      </c>
      <c r="C293" s="1" t="n">
        <v>45509</v>
      </c>
      <c r="D293" t="inlineStr">
        <is>
          <t>ÖREBRO LÄN</t>
        </is>
      </c>
      <c r="E293" t="inlineStr">
        <is>
          <t>LAXÅ</t>
        </is>
      </c>
      <c r="F293" t="inlineStr">
        <is>
          <t>Sveaskog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15490-2022</t>
        </is>
      </c>
      <c r="B294" s="1" t="n">
        <v>44662</v>
      </c>
      <c r="C294" s="1" t="n">
        <v>45509</v>
      </c>
      <c r="D294" t="inlineStr">
        <is>
          <t>ÖREBRO LÄN</t>
        </is>
      </c>
      <c r="E294" t="inlineStr">
        <is>
          <t>LAXÅ</t>
        </is>
      </c>
      <c r="F294" t="inlineStr">
        <is>
          <t>Sveaskog</t>
        </is>
      </c>
      <c r="G294" t="n">
        <v>4.1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15502-2022</t>
        </is>
      </c>
      <c r="B295" s="1" t="n">
        <v>44662</v>
      </c>
      <c r="C295" s="1" t="n">
        <v>45509</v>
      </c>
      <c r="D295" t="inlineStr">
        <is>
          <t>ÖREBRO LÄN</t>
        </is>
      </c>
      <c r="E295" t="inlineStr">
        <is>
          <t>LAXÅ</t>
        </is>
      </c>
      <c r="F295" t="inlineStr">
        <is>
          <t>Sveaskog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15489-2022</t>
        </is>
      </c>
      <c r="B296" s="1" t="n">
        <v>44662</v>
      </c>
      <c r="C296" s="1" t="n">
        <v>45509</v>
      </c>
      <c r="D296" t="inlineStr">
        <is>
          <t>ÖREBRO LÄN</t>
        </is>
      </c>
      <c r="E296" t="inlineStr">
        <is>
          <t>LAXÅ</t>
        </is>
      </c>
      <c r="F296" t="inlineStr">
        <is>
          <t>Sveaskog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15491-2022</t>
        </is>
      </c>
      <c r="B297" s="1" t="n">
        <v>44662</v>
      </c>
      <c r="C297" s="1" t="n">
        <v>45509</v>
      </c>
      <c r="D297" t="inlineStr">
        <is>
          <t>ÖREBRO LÄN</t>
        </is>
      </c>
      <c r="E297" t="inlineStr">
        <is>
          <t>LAXÅ</t>
        </is>
      </c>
      <c r="F297" t="inlineStr">
        <is>
          <t>Sveaskog</t>
        </is>
      </c>
      <c r="G297" t="n">
        <v>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15504-2022</t>
        </is>
      </c>
      <c r="B298" s="1" t="n">
        <v>44662</v>
      </c>
      <c r="C298" s="1" t="n">
        <v>45509</v>
      </c>
      <c r="D298" t="inlineStr">
        <is>
          <t>ÖREBRO LÄN</t>
        </is>
      </c>
      <c r="E298" t="inlineStr">
        <is>
          <t>LAXÅ</t>
        </is>
      </c>
      <c r="F298" t="inlineStr">
        <is>
          <t>Sveaskog</t>
        </is>
      </c>
      <c r="G298" t="n">
        <v>16.4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15518-2022</t>
        </is>
      </c>
      <c r="B299" s="1" t="n">
        <v>44662</v>
      </c>
      <c r="C299" s="1" t="n">
        <v>45509</v>
      </c>
      <c r="D299" t="inlineStr">
        <is>
          <t>ÖREBRO LÄN</t>
        </is>
      </c>
      <c r="E299" t="inlineStr">
        <is>
          <t>LAXÅ</t>
        </is>
      </c>
      <c r="F299" t="inlineStr">
        <is>
          <t>Sveaskog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16044-2022</t>
        </is>
      </c>
      <c r="B300" s="1" t="n">
        <v>44665</v>
      </c>
      <c r="C300" s="1" t="n">
        <v>45509</v>
      </c>
      <c r="D300" t="inlineStr">
        <is>
          <t>ÖREBRO LÄN</t>
        </is>
      </c>
      <c r="E300" t="inlineStr">
        <is>
          <t>LAXÅ</t>
        </is>
      </c>
      <c r="F300" t="inlineStr">
        <is>
          <t>Sveaskog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16501-2022</t>
        </is>
      </c>
      <c r="B301" s="1" t="n">
        <v>44671</v>
      </c>
      <c r="C301" s="1" t="n">
        <v>45509</v>
      </c>
      <c r="D301" t="inlineStr">
        <is>
          <t>ÖREBRO LÄN</t>
        </is>
      </c>
      <c r="E301" t="inlineStr">
        <is>
          <t>LAXÅ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21764-2022</t>
        </is>
      </c>
      <c r="B302" s="1" t="n">
        <v>44708</v>
      </c>
      <c r="C302" s="1" t="n">
        <v>45509</v>
      </c>
      <c r="D302" t="inlineStr">
        <is>
          <t>ÖREBRO LÄN</t>
        </is>
      </c>
      <c r="E302" t="inlineStr">
        <is>
          <t>LAXÅ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25563-2022</t>
        </is>
      </c>
      <c r="B303" s="1" t="n">
        <v>44732</v>
      </c>
      <c r="C303" s="1" t="n">
        <v>45509</v>
      </c>
      <c r="D303" t="inlineStr">
        <is>
          <t>ÖREBRO LÄN</t>
        </is>
      </c>
      <c r="E303" t="inlineStr">
        <is>
          <t>LAXÅ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28115-2022</t>
        </is>
      </c>
      <c r="B304" s="1" t="n">
        <v>44746</v>
      </c>
      <c r="C304" s="1" t="n">
        <v>45509</v>
      </c>
      <c r="D304" t="inlineStr">
        <is>
          <t>ÖREBRO LÄN</t>
        </is>
      </c>
      <c r="E304" t="inlineStr">
        <is>
          <t>LAXÅ</t>
        </is>
      </c>
      <c r="F304" t="inlineStr">
        <is>
          <t>Sveaskog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28134-2022</t>
        </is>
      </c>
      <c r="B305" s="1" t="n">
        <v>44746</v>
      </c>
      <c r="C305" s="1" t="n">
        <v>45509</v>
      </c>
      <c r="D305" t="inlineStr">
        <is>
          <t>ÖREBRO LÄN</t>
        </is>
      </c>
      <c r="E305" t="inlineStr">
        <is>
          <t>LAXÅ</t>
        </is>
      </c>
      <c r="F305" t="inlineStr">
        <is>
          <t>Sveaskog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28139-2022</t>
        </is>
      </c>
      <c r="B306" s="1" t="n">
        <v>44746</v>
      </c>
      <c r="C306" s="1" t="n">
        <v>45509</v>
      </c>
      <c r="D306" t="inlineStr">
        <is>
          <t>ÖREBRO LÄN</t>
        </is>
      </c>
      <c r="E306" t="inlineStr">
        <is>
          <t>LAXÅ</t>
        </is>
      </c>
      <c r="F306" t="inlineStr">
        <is>
          <t>Sveaskog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28144-2022</t>
        </is>
      </c>
      <c r="B307" s="1" t="n">
        <v>44746</v>
      </c>
      <c r="C307" s="1" t="n">
        <v>45509</v>
      </c>
      <c r="D307" t="inlineStr">
        <is>
          <t>ÖREBRO LÄN</t>
        </is>
      </c>
      <c r="E307" t="inlineStr">
        <is>
          <t>LAXÅ</t>
        </is>
      </c>
      <c r="F307" t="inlineStr">
        <is>
          <t>Sveaskog</t>
        </is>
      </c>
      <c r="G307" t="n">
        <v>8.1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28112-2022</t>
        </is>
      </c>
      <c r="B308" s="1" t="n">
        <v>44746</v>
      </c>
      <c r="C308" s="1" t="n">
        <v>45509</v>
      </c>
      <c r="D308" t="inlineStr">
        <is>
          <t>ÖREBRO LÄN</t>
        </is>
      </c>
      <c r="E308" t="inlineStr">
        <is>
          <t>LAXÅ</t>
        </is>
      </c>
      <c r="F308" t="inlineStr">
        <is>
          <t>Sveaskog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28119-2022</t>
        </is>
      </c>
      <c r="B309" s="1" t="n">
        <v>44746</v>
      </c>
      <c r="C309" s="1" t="n">
        <v>45509</v>
      </c>
      <c r="D309" t="inlineStr">
        <is>
          <t>ÖREBRO LÄN</t>
        </is>
      </c>
      <c r="E309" t="inlineStr">
        <is>
          <t>LAXÅ</t>
        </is>
      </c>
      <c r="F309" t="inlineStr">
        <is>
          <t>Sveaskog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28141-2022</t>
        </is>
      </c>
      <c r="B310" s="1" t="n">
        <v>44746</v>
      </c>
      <c r="C310" s="1" t="n">
        <v>45509</v>
      </c>
      <c r="D310" t="inlineStr">
        <is>
          <t>ÖREBRO LÄN</t>
        </is>
      </c>
      <c r="E310" t="inlineStr">
        <is>
          <t>LAXÅ</t>
        </is>
      </c>
      <c r="F310" t="inlineStr">
        <is>
          <t>Sveaskog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28137-2022</t>
        </is>
      </c>
      <c r="B311" s="1" t="n">
        <v>44746</v>
      </c>
      <c r="C311" s="1" t="n">
        <v>45509</v>
      </c>
      <c r="D311" t="inlineStr">
        <is>
          <t>ÖREBRO LÄN</t>
        </is>
      </c>
      <c r="E311" t="inlineStr">
        <is>
          <t>LAXÅ</t>
        </is>
      </c>
      <c r="F311" t="inlineStr">
        <is>
          <t>Sveaskog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28110-2022</t>
        </is>
      </c>
      <c r="B312" s="1" t="n">
        <v>44746</v>
      </c>
      <c r="C312" s="1" t="n">
        <v>45509</v>
      </c>
      <c r="D312" t="inlineStr">
        <is>
          <t>ÖREBRO LÄN</t>
        </is>
      </c>
      <c r="E312" t="inlineStr">
        <is>
          <t>LAXÅ</t>
        </is>
      </c>
      <c r="F312" t="inlineStr">
        <is>
          <t>Sveaskog</t>
        </is>
      </c>
      <c r="G312" t="n">
        <v>5.2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28116-2022</t>
        </is>
      </c>
      <c r="B313" s="1" t="n">
        <v>44746</v>
      </c>
      <c r="C313" s="1" t="n">
        <v>45509</v>
      </c>
      <c r="D313" t="inlineStr">
        <is>
          <t>ÖREBRO LÄN</t>
        </is>
      </c>
      <c r="E313" t="inlineStr">
        <is>
          <t>LAXÅ</t>
        </is>
      </c>
      <c r="F313" t="inlineStr">
        <is>
          <t>Sveaskog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28138-2022</t>
        </is>
      </c>
      <c r="B314" s="1" t="n">
        <v>44746</v>
      </c>
      <c r="C314" s="1" t="n">
        <v>45509</v>
      </c>
      <c r="D314" t="inlineStr">
        <is>
          <t>ÖREBRO LÄN</t>
        </is>
      </c>
      <c r="E314" t="inlineStr">
        <is>
          <t>LAXÅ</t>
        </is>
      </c>
      <c r="F314" t="inlineStr">
        <is>
          <t>Sveaskog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28140-2022</t>
        </is>
      </c>
      <c r="B315" s="1" t="n">
        <v>44746</v>
      </c>
      <c r="C315" s="1" t="n">
        <v>45509</v>
      </c>
      <c r="D315" t="inlineStr">
        <is>
          <t>ÖREBRO LÄN</t>
        </is>
      </c>
      <c r="E315" t="inlineStr">
        <is>
          <t>LAXÅ</t>
        </is>
      </c>
      <c r="F315" t="inlineStr">
        <is>
          <t>Sveaskog</t>
        </is>
      </c>
      <c r="G315" t="n">
        <v>4.7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28516-2022</t>
        </is>
      </c>
      <c r="B316" s="1" t="n">
        <v>44748</v>
      </c>
      <c r="C316" s="1" t="n">
        <v>45509</v>
      </c>
      <c r="D316" t="inlineStr">
        <is>
          <t>ÖREBRO LÄN</t>
        </is>
      </c>
      <c r="E316" t="inlineStr">
        <is>
          <t>LAXÅ</t>
        </is>
      </c>
      <c r="F316" t="inlineStr">
        <is>
          <t>Sveaskog</t>
        </is>
      </c>
      <c r="G316" t="n">
        <v>7.5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28518-2022</t>
        </is>
      </c>
      <c r="B317" s="1" t="n">
        <v>44748</v>
      </c>
      <c r="C317" s="1" t="n">
        <v>45509</v>
      </c>
      <c r="D317" t="inlineStr">
        <is>
          <t>ÖREBRO LÄN</t>
        </is>
      </c>
      <c r="E317" t="inlineStr">
        <is>
          <t>LAXÅ</t>
        </is>
      </c>
      <c r="F317" t="inlineStr">
        <is>
          <t>Sveaskog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28522-2022</t>
        </is>
      </c>
      <c r="B318" s="1" t="n">
        <v>44748</v>
      </c>
      <c r="C318" s="1" t="n">
        <v>45509</v>
      </c>
      <c r="D318" t="inlineStr">
        <is>
          <t>ÖREBRO LÄN</t>
        </is>
      </c>
      <c r="E318" t="inlineStr">
        <is>
          <t>LAXÅ</t>
        </is>
      </c>
      <c r="F318" t="inlineStr">
        <is>
          <t>Sveaskog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28517-2022</t>
        </is>
      </c>
      <c r="B319" s="1" t="n">
        <v>44748</v>
      </c>
      <c r="C319" s="1" t="n">
        <v>45509</v>
      </c>
      <c r="D319" t="inlineStr">
        <is>
          <t>ÖREBRO LÄN</t>
        </is>
      </c>
      <c r="E319" t="inlineStr">
        <is>
          <t>LAXÅ</t>
        </is>
      </c>
      <c r="F319" t="inlineStr">
        <is>
          <t>Sveaskog</t>
        </is>
      </c>
      <c r="G319" t="n">
        <v>7.4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28521-2022</t>
        </is>
      </c>
      <c r="B320" s="1" t="n">
        <v>44748</v>
      </c>
      <c r="C320" s="1" t="n">
        <v>45509</v>
      </c>
      <c r="D320" t="inlineStr">
        <is>
          <t>ÖREBRO LÄN</t>
        </is>
      </c>
      <c r="E320" t="inlineStr">
        <is>
          <t>LAXÅ</t>
        </is>
      </c>
      <c r="F320" t="inlineStr">
        <is>
          <t>Sveaskog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28515-2022</t>
        </is>
      </c>
      <c r="B321" s="1" t="n">
        <v>44748</v>
      </c>
      <c r="C321" s="1" t="n">
        <v>45509</v>
      </c>
      <c r="D321" t="inlineStr">
        <is>
          <t>ÖREBRO LÄN</t>
        </is>
      </c>
      <c r="E321" t="inlineStr">
        <is>
          <t>LAXÅ</t>
        </is>
      </c>
      <c r="F321" t="inlineStr">
        <is>
          <t>Sveaskog</t>
        </is>
      </c>
      <c r="G321" t="n">
        <v>8.5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28524-2022</t>
        </is>
      </c>
      <c r="B322" s="1" t="n">
        <v>44748</v>
      </c>
      <c r="C322" s="1" t="n">
        <v>45509</v>
      </c>
      <c r="D322" t="inlineStr">
        <is>
          <t>ÖREBRO LÄN</t>
        </is>
      </c>
      <c r="E322" t="inlineStr">
        <is>
          <t>LAXÅ</t>
        </is>
      </c>
      <c r="F322" t="inlineStr">
        <is>
          <t>Sveaskog</t>
        </is>
      </c>
      <c r="G322" t="n">
        <v>5.4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33764-2022</t>
        </is>
      </c>
      <c r="B323" s="1" t="n">
        <v>44790</v>
      </c>
      <c r="C323" s="1" t="n">
        <v>45509</v>
      </c>
      <c r="D323" t="inlineStr">
        <is>
          <t>ÖREBRO LÄN</t>
        </is>
      </c>
      <c r="E323" t="inlineStr">
        <is>
          <t>LAXÅ</t>
        </is>
      </c>
      <c r="F323" t="inlineStr">
        <is>
          <t>Sveaskog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33774-2022</t>
        </is>
      </c>
      <c r="B324" s="1" t="n">
        <v>44790</v>
      </c>
      <c r="C324" s="1" t="n">
        <v>45509</v>
      </c>
      <c r="D324" t="inlineStr">
        <is>
          <t>ÖREBRO LÄN</t>
        </is>
      </c>
      <c r="E324" t="inlineStr">
        <is>
          <t>LAXÅ</t>
        </is>
      </c>
      <c r="F324" t="inlineStr">
        <is>
          <t>Sveaskog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34437-2022</t>
        </is>
      </c>
      <c r="B325" s="1" t="n">
        <v>44792</v>
      </c>
      <c r="C325" s="1" t="n">
        <v>45509</v>
      </c>
      <c r="D325" t="inlineStr">
        <is>
          <t>ÖREBRO LÄN</t>
        </is>
      </c>
      <c r="E325" t="inlineStr">
        <is>
          <t>LAXÅ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34481-2022</t>
        </is>
      </c>
      <c r="B326" s="1" t="n">
        <v>44792</v>
      </c>
      <c r="C326" s="1" t="n">
        <v>45509</v>
      </c>
      <c r="D326" t="inlineStr">
        <is>
          <t>ÖREBRO LÄN</t>
        </is>
      </c>
      <c r="E326" t="inlineStr">
        <is>
          <t>LAXÅ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34585-2022</t>
        </is>
      </c>
      <c r="B327" s="1" t="n">
        <v>44795</v>
      </c>
      <c r="C327" s="1" t="n">
        <v>45509</v>
      </c>
      <c r="D327" t="inlineStr">
        <is>
          <t>ÖREBRO LÄN</t>
        </is>
      </c>
      <c r="E327" t="inlineStr">
        <is>
          <t>LAXÅ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34594-2022</t>
        </is>
      </c>
      <c r="B328" s="1" t="n">
        <v>44795</v>
      </c>
      <c r="C328" s="1" t="n">
        <v>45509</v>
      </c>
      <c r="D328" t="inlineStr">
        <is>
          <t>ÖREBRO LÄN</t>
        </is>
      </c>
      <c r="E328" t="inlineStr">
        <is>
          <t>LAXÅ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34736-2022</t>
        </is>
      </c>
      <c r="B329" s="1" t="n">
        <v>44795</v>
      </c>
      <c r="C329" s="1" t="n">
        <v>45509</v>
      </c>
      <c r="D329" t="inlineStr">
        <is>
          <t>ÖREBRO LÄN</t>
        </is>
      </c>
      <c r="E329" t="inlineStr">
        <is>
          <t>LAXÅ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35130-2022</t>
        </is>
      </c>
      <c r="B330" s="1" t="n">
        <v>44797</v>
      </c>
      <c r="C330" s="1" t="n">
        <v>45509</v>
      </c>
      <c r="D330" t="inlineStr">
        <is>
          <t>ÖREBRO LÄN</t>
        </is>
      </c>
      <c r="E330" t="inlineStr">
        <is>
          <t>LAXÅ</t>
        </is>
      </c>
      <c r="G330" t="n">
        <v>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35613-2022</t>
        </is>
      </c>
      <c r="B331" s="1" t="n">
        <v>44799</v>
      </c>
      <c r="C331" s="1" t="n">
        <v>45509</v>
      </c>
      <c r="D331" t="inlineStr">
        <is>
          <t>ÖREBRO LÄN</t>
        </is>
      </c>
      <c r="E331" t="inlineStr">
        <is>
          <t>LAXÅ</t>
        </is>
      </c>
      <c r="F331" t="inlineStr">
        <is>
          <t>Sveaskog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35792-2022</t>
        </is>
      </c>
      <c r="B332" s="1" t="n">
        <v>44801</v>
      </c>
      <c r="C332" s="1" t="n">
        <v>45509</v>
      </c>
      <c r="D332" t="inlineStr">
        <is>
          <t>ÖREBRO LÄN</t>
        </is>
      </c>
      <c r="E332" t="inlineStr">
        <is>
          <t>LAXÅ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35996-2022</t>
        </is>
      </c>
      <c r="B333" s="1" t="n">
        <v>44802</v>
      </c>
      <c r="C333" s="1" t="n">
        <v>45509</v>
      </c>
      <c r="D333" t="inlineStr">
        <is>
          <t>ÖREBRO LÄN</t>
        </is>
      </c>
      <c r="E333" t="inlineStr">
        <is>
          <t>LAXÅ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36348-2022</t>
        </is>
      </c>
      <c r="B334" s="1" t="n">
        <v>44803</v>
      </c>
      <c r="C334" s="1" t="n">
        <v>45509</v>
      </c>
      <c r="D334" t="inlineStr">
        <is>
          <t>ÖREBRO LÄN</t>
        </is>
      </c>
      <c r="E334" t="inlineStr">
        <is>
          <t>LAXÅ</t>
        </is>
      </c>
      <c r="F334" t="inlineStr">
        <is>
          <t>Sveaskog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36349-2022</t>
        </is>
      </c>
      <c r="B335" s="1" t="n">
        <v>44803</v>
      </c>
      <c r="C335" s="1" t="n">
        <v>45509</v>
      </c>
      <c r="D335" t="inlineStr">
        <is>
          <t>ÖREBRO LÄN</t>
        </is>
      </c>
      <c r="E335" t="inlineStr">
        <is>
          <t>LAXÅ</t>
        </is>
      </c>
      <c r="F335" t="inlineStr">
        <is>
          <t>Sveaskog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36346-2022</t>
        </is>
      </c>
      <c r="B336" s="1" t="n">
        <v>44803</v>
      </c>
      <c r="C336" s="1" t="n">
        <v>45509</v>
      </c>
      <c r="D336" t="inlineStr">
        <is>
          <t>ÖREBRO LÄN</t>
        </is>
      </c>
      <c r="E336" t="inlineStr">
        <is>
          <t>LAXÅ</t>
        </is>
      </c>
      <c r="F336" t="inlineStr">
        <is>
          <t>Sveaskog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36351-2022</t>
        </is>
      </c>
      <c r="B337" s="1" t="n">
        <v>44803</v>
      </c>
      <c r="C337" s="1" t="n">
        <v>45509</v>
      </c>
      <c r="D337" t="inlineStr">
        <is>
          <t>ÖREBRO LÄN</t>
        </is>
      </c>
      <c r="E337" t="inlineStr">
        <is>
          <t>LAXÅ</t>
        </is>
      </c>
      <c r="F337" t="inlineStr">
        <is>
          <t>Sveaskog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36350-2022</t>
        </is>
      </c>
      <c r="B338" s="1" t="n">
        <v>44803</v>
      </c>
      <c r="C338" s="1" t="n">
        <v>45509</v>
      </c>
      <c r="D338" t="inlineStr">
        <is>
          <t>ÖREBRO LÄN</t>
        </is>
      </c>
      <c r="E338" t="inlineStr">
        <is>
          <t>LAXÅ</t>
        </is>
      </c>
      <c r="F338" t="inlineStr">
        <is>
          <t>Sveaskog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36520-2022</t>
        </is>
      </c>
      <c r="B339" s="1" t="n">
        <v>44804</v>
      </c>
      <c r="C339" s="1" t="n">
        <v>45509</v>
      </c>
      <c r="D339" t="inlineStr">
        <is>
          <t>ÖREBRO LÄN</t>
        </is>
      </c>
      <c r="E339" t="inlineStr">
        <is>
          <t>LAXÅ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37146-2022</t>
        </is>
      </c>
      <c r="B340" s="1" t="n">
        <v>44805</v>
      </c>
      <c r="C340" s="1" t="n">
        <v>45509</v>
      </c>
      <c r="D340" t="inlineStr">
        <is>
          <t>ÖREBRO LÄN</t>
        </is>
      </c>
      <c r="E340" t="inlineStr">
        <is>
          <t>LAXÅ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37137-2022</t>
        </is>
      </c>
      <c r="B341" s="1" t="n">
        <v>44805</v>
      </c>
      <c r="C341" s="1" t="n">
        <v>45509</v>
      </c>
      <c r="D341" t="inlineStr">
        <is>
          <t>ÖREBRO LÄN</t>
        </is>
      </c>
      <c r="E341" t="inlineStr">
        <is>
          <t>LAXÅ</t>
        </is>
      </c>
      <c r="G341" t="n">
        <v>12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38549-2022</t>
        </is>
      </c>
      <c r="B342" s="1" t="n">
        <v>44813</v>
      </c>
      <c r="C342" s="1" t="n">
        <v>45509</v>
      </c>
      <c r="D342" t="inlineStr">
        <is>
          <t>ÖREBRO LÄN</t>
        </is>
      </c>
      <c r="E342" t="inlineStr">
        <is>
          <t>LAXÅ</t>
        </is>
      </c>
      <c r="F342" t="inlineStr">
        <is>
          <t>Sveaskog</t>
        </is>
      </c>
      <c r="G342" t="n">
        <v>4.3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38559-2022</t>
        </is>
      </c>
      <c r="B343" s="1" t="n">
        <v>44813</v>
      </c>
      <c r="C343" s="1" t="n">
        <v>45509</v>
      </c>
      <c r="D343" t="inlineStr">
        <is>
          <t>ÖREBRO LÄN</t>
        </is>
      </c>
      <c r="E343" t="inlineStr">
        <is>
          <t>LAXÅ</t>
        </is>
      </c>
      <c r="F343" t="inlineStr">
        <is>
          <t>Sveaskog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38539-2022</t>
        </is>
      </c>
      <c r="B344" s="1" t="n">
        <v>44813</v>
      </c>
      <c r="C344" s="1" t="n">
        <v>45509</v>
      </c>
      <c r="D344" t="inlineStr">
        <is>
          <t>ÖREBRO LÄN</t>
        </is>
      </c>
      <c r="E344" t="inlineStr">
        <is>
          <t>LAXÅ</t>
        </is>
      </c>
      <c r="F344" t="inlineStr">
        <is>
          <t>Sveaskog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38554-2022</t>
        </is>
      </c>
      <c r="B345" s="1" t="n">
        <v>44813</v>
      </c>
      <c r="C345" s="1" t="n">
        <v>45509</v>
      </c>
      <c r="D345" t="inlineStr">
        <is>
          <t>ÖREBRO LÄN</t>
        </is>
      </c>
      <c r="E345" t="inlineStr">
        <is>
          <t>LAXÅ</t>
        </is>
      </c>
      <c r="F345" t="inlineStr">
        <is>
          <t>Sveaskog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38564-2022</t>
        </is>
      </c>
      <c r="B346" s="1" t="n">
        <v>44813</v>
      </c>
      <c r="C346" s="1" t="n">
        <v>45509</v>
      </c>
      <c r="D346" t="inlineStr">
        <is>
          <t>ÖREBRO LÄN</t>
        </is>
      </c>
      <c r="E346" t="inlineStr">
        <is>
          <t>LAXÅ</t>
        </is>
      </c>
      <c r="F346" t="inlineStr">
        <is>
          <t>Sveaskog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38547-2022</t>
        </is>
      </c>
      <c r="B347" s="1" t="n">
        <v>44813</v>
      </c>
      <c r="C347" s="1" t="n">
        <v>45509</v>
      </c>
      <c r="D347" t="inlineStr">
        <is>
          <t>ÖREBRO LÄN</t>
        </is>
      </c>
      <c r="E347" t="inlineStr">
        <is>
          <t>LAXÅ</t>
        </is>
      </c>
      <c r="F347" t="inlineStr">
        <is>
          <t>Sveaskog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38551-2022</t>
        </is>
      </c>
      <c r="B348" s="1" t="n">
        <v>44813</v>
      </c>
      <c r="C348" s="1" t="n">
        <v>45509</v>
      </c>
      <c r="D348" t="inlineStr">
        <is>
          <t>ÖREBRO LÄN</t>
        </is>
      </c>
      <c r="E348" t="inlineStr">
        <is>
          <t>LAXÅ</t>
        </is>
      </c>
      <c r="F348" t="inlineStr">
        <is>
          <t>Sveaskog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38561-2022</t>
        </is>
      </c>
      <c r="B349" s="1" t="n">
        <v>44813</v>
      </c>
      <c r="C349" s="1" t="n">
        <v>45509</v>
      </c>
      <c r="D349" t="inlineStr">
        <is>
          <t>ÖREBRO LÄN</t>
        </is>
      </c>
      <c r="E349" t="inlineStr">
        <is>
          <t>LAXÅ</t>
        </is>
      </c>
      <c r="F349" t="inlineStr">
        <is>
          <t>Sveaskog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40960-2022</t>
        </is>
      </c>
      <c r="B350" s="1" t="n">
        <v>44825</v>
      </c>
      <c r="C350" s="1" t="n">
        <v>45509</v>
      </c>
      <c r="D350" t="inlineStr">
        <is>
          <t>ÖREBRO LÄN</t>
        </is>
      </c>
      <c r="E350" t="inlineStr">
        <is>
          <t>LAXÅ</t>
        </is>
      </c>
      <c r="F350" t="inlineStr">
        <is>
          <t>Sveaskog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40953-2022</t>
        </is>
      </c>
      <c r="B351" s="1" t="n">
        <v>44825</v>
      </c>
      <c r="C351" s="1" t="n">
        <v>45509</v>
      </c>
      <c r="D351" t="inlineStr">
        <is>
          <t>ÖREBRO LÄN</t>
        </is>
      </c>
      <c r="E351" t="inlineStr">
        <is>
          <t>LAXÅ</t>
        </is>
      </c>
      <c r="F351" t="inlineStr">
        <is>
          <t>Sveaskog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40952-2022</t>
        </is>
      </c>
      <c r="B352" s="1" t="n">
        <v>44825</v>
      </c>
      <c r="C352" s="1" t="n">
        <v>45509</v>
      </c>
      <c r="D352" t="inlineStr">
        <is>
          <t>ÖREBRO LÄN</t>
        </is>
      </c>
      <c r="E352" t="inlineStr">
        <is>
          <t>LAXÅ</t>
        </is>
      </c>
      <c r="F352" t="inlineStr">
        <is>
          <t>Sveaskog</t>
        </is>
      </c>
      <c r="G352" t="n">
        <v>4.5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42095-2022</t>
        </is>
      </c>
      <c r="B353" s="1" t="n">
        <v>44830</v>
      </c>
      <c r="C353" s="1" t="n">
        <v>45509</v>
      </c>
      <c r="D353" t="inlineStr">
        <is>
          <t>ÖREBRO LÄN</t>
        </is>
      </c>
      <c r="E353" t="inlineStr">
        <is>
          <t>LAXÅ</t>
        </is>
      </c>
      <c r="F353" t="inlineStr">
        <is>
          <t>Sveaskog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43500-2022</t>
        </is>
      </c>
      <c r="B354" s="1" t="n">
        <v>44837</v>
      </c>
      <c r="C354" s="1" t="n">
        <v>45509</v>
      </c>
      <c r="D354" t="inlineStr">
        <is>
          <t>ÖREBRO LÄN</t>
        </is>
      </c>
      <c r="E354" t="inlineStr">
        <is>
          <t>LAXÅ</t>
        </is>
      </c>
      <c r="F354" t="inlineStr">
        <is>
          <t>Sveaskog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45014-2022</t>
        </is>
      </c>
      <c r="B355" s="1" t="n">
        <v>44841</v>
      </c>
      <c r="C355" s="1" t="n">
        <v>45509</v>
      </c>
      <c r="D355" t="inlineStr">
        <is>
          <t>ÖREBRO LÄN</t>
        </is>
      </c>
      <c r="E355" t="inlineStr">
        <is>
          <t>LAXÅ</t>
        </is>
      </c>
      <c r="F355" t="inlineStr">
        <is>
          <t>Sveaskog</t>
        </is>
      </c>
      <c r="G355" t="n">
        <v>21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46265-2022</t>
        </is>
      </c>
      <c r="B356" s="1" t="n">
        <v>44847</v>
      </c>
      <c r="C356" s="1" t="n">
        <v>45509</v>
      </c>
      <c r="D356" t="inlineStr">
        <is>
          <t>ÖREBRO LÄN</t>
        </is>
      </c>
      <c r="E356" t="inlineStr">
        <is>
          <t>LAXÅ</t>
        </is>
      </c>
      <c r="F356" t="inlineStr">
        <is>
          <t>Sveaskog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46269-2022</t>
        </is>
      </c>
      <c r="B357" s="1" t="n">
        <v>44847</v>
      </c>
      <c r="C357" s="1" t="n">
        <v>45509</v>
      </c>
      <c r="D357" t="inlineStr">
        <is>
          <t>ÖREBRO LÄN</t>
        </is>
      </c>
      <c r="E357" t="inlineStr">
        <is>
          <t>LAXÅ</t>
        </is>
      </c>
      <c r="F357" t="inlineStr">
        <is>
          <t>Sveaskog</t>
        </is>
      </c>
      <c r="G357" t="n">
        <v>8.800000000000001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46268-2022</t>
        </is>
      </c>
      <c r="B358" s="1" t="n">
        <v>44847</v>
      </c>
      <c r="C358" s="1" t="n">
        <v>45509</v>
      </c>
      <c r="D358" t="inlineStr">
        <is>
          <t>ÖREBRO LÄN</t>
        </is>
      </c>
      <c r="E358" t="inlineStr">
        <is>
          <t>LAXÅ</t>
        </is>
      </c>
      <c r="F358" t="inlineStr">
        <is>
          <t>Sveaskog</t>
        </is>
      </c>
      <c r="G358" t="n">
        <v>6.2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50753-2022</t>
        </is>
      </c>
      <c r="B359" s="1" t="n">
        <v>44867</v>
      </c>
      <c r="C359" s="1" t="n">
        <v>45509</v>
      </c>
      <c r="D359" t="inlineStr">
        <is>
          <t>ÖREBRO LÄN</t>
        </is>
      </c>
      <c r="E359" t="inlineStr">
        <is>
          <t>LAXÅ</t>
        </is>
      </c>
      <c r="F359" t="inlineStr">
        <is>
          <t>Sveaskog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50770-2022</t>
        </is>
      </c>
      <c r="B360" s="1" t="n">
        <v>44867</v>
      </c>
      <c r="C360" s="1" t="n">
        <v>45509</v>
      </c>
      <c r="D360" t="inlineStr">
        <is>
          <t>ÖREBRO LÄN</t>
        </is>
      </c>
      <c r="E360" t="inlineStr">
        <is>
          <t>LAXÅ</t>
        </is>
      </c>
      <c r="F360" t="inlineStr">
        <is>
          <t>Sveaskog</t>
        </is>
      </c>
      <c r="G360" t="n">
        <v>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50749-2022</t>
        </is>
      </c>
      <c r="B361" s="1" t="n">
        <v>44867</v>
      </c>
      <c r="C361" s="1" t="n">
        <v>45509</v>
      </c>
      <c r="D361" t="inlineStr">
        <is>
          <t>ÖREBRO LÄN</t>
        </is>
      </c>
      <c r="E361" t="inlineStr">
        <is>
          <t>LAXÅ</t>
        </is>
      </c>
      <c r="F361" t="inlineStr">
        <is>
          <t>Sveaskog</t>
        </is>
      </c>
      <c r="G361" t="n">
        <v>4.9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50750-2022</t>
        </is>
      </c>
      <c r="B362" s="1" t="n">
        <v>44867</v>
      </c>
      <c r="C362" s="1" t="n">
        <v>45509</v>
      </c>
      <c r="D362" t="inlineStr">
        <is>
          <t>ÖREBRO LÄN</t>
        </is>
      </c>
      <c r="E362" t="inlineStr">
        <is>
          <t>LAXÅ</t>
        </is>
      </c>
      <c r="F362" t="inlineStr">
        <is>
          <t>Sveaskog</t>
        </is>
      </c>
      <c r="G362" t="n">
        <v>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50765-2022</t>
        </is>
      </c>
      <c r="B363" s="1" t="n">
        <v>44867</v>
      </c>
      <c r="C363" s="1" t="n">
        <v>45509</v>
      </c>
      <c r="D363" t="inlineStr">
        <is>
          <t>ÖREBRO LÄN</t>
        </is>
      </c>
      <c r="E363" t="inlineStr">
        <is>
          <t>LAXÅ</t>
        </is>
      </c>
      <c r="F363" t="inlineStr">
        <is>
          <t>Sveaskog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50754-2022</t>
        </is>
      </c>
      <c r="B364" s="1" t="n">
        <v>44867</v>
      </c>
      <c r="C364" s="1" t="n">
        <v>45509</v>
      </c>
      <c r="D364" t="inlineStr">
        <is>
          <t>ÖREBRO LÄN</t>
        </is>
      </c>
      <c r="E364" t="inlineStr">
        <is>
          <t>LAXÅ</t>
        </is>
      </c>
      <c r="F364" t="inlineStr">
        <is>
          <t>Sveaskog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50772-2022</t>
        </is>
      </c>
      <c r="B365" s="1" t="n">
        <v>44867</v>
      </c>
      <c r="C365" s="1" t="n">
        <v>45509</v>
      </c>
      <c r="D365" t="inlineStr">
        <is>
          <t>ÖREBRO LÄN</t>
        </is>
      </c>
      <c r="E365" t="inlineStr">
        <is>
          <t>LAXÅ</t>
        </is>
      </c>
      <c r="F365" t="inlineStr">
        <is>
          <t>Sveaskog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51681-2022</t>
        </is>
      </c>
      <c r="B366" s="1" t="n">
        <v>44872</v>
      </c>
      <c r="C366" s="1" t="n">
        <v>45509</v>
      </c>
      <c r="D366" t="inlineStr">
        <is>
          <t>ÖREBRO LÄN</t>
        </is>
      </c>
      <c r="E366" t="inlineStr">
        <is>
          <t>LAXÅ</t>
        </is>
      </c>
      <c r="F366" t="inlineStr">
        <is>
          <t>Sveaskog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51719-2022</t>
        </is>
      </c>
      <c r="B367" s="1" t="n">
        <v>44872</v>
      </c>
      <c r="C367" s="1" t="n">
        <v>45509</v>
      </c>
      <c r="D367" t="inlineStr">
        <is>
          <t>ÖREBRO LÄN</t>
        </is>
      </c>
      <c r="E367" t="inlineStr">
        <is>
          <t>LAXÅ</t>
        </is>
      </c>
      <c r="F367" t="inlineStr">
        <is>
          <t>Sveaskog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51728-2022</t>
        </is>
      </c>
      <c r="B368" s="1" t="n">
        <v>44872</v>
      </c>
      <c r="C368" s="1" t="n">
        <v>45509</v>
      </c>
      <c r="D368" t="inlineStr">
        <is>
          <t>ÖREBRO LÄN</t>
        </is>
      </c>
      <c r="E368" t="inlineStr">
        <is>
          <t>LAXÅ</t>
        </is>
      </c>
      <c r="F368" t="inlineStr">
        <is>
          <t>Sveaskog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51809-2022</t>
        </is>
      </c>
      <c r="B369" s="1" t="n">
        <v>44872</v>
      </c>
      <c r="C369" s="1" t="n">
        <v>45509</v>
      </c>
      <c r="D369" t="inlineStr">
        <is>
          <t>ÖREBRO LÄN</t>
        </is>
      </c>
      <c r="E369" t="inlineStr">
        <is>
          <t>LAXÅ</t>
        </is>
      </c>
      <c r="F369" t="inlineStr">
        <is>
          <t>Sveaskog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51818-2022</t>
        </is>
      </c>
      <c r="B370" s="1" t="n">
        <v>44872</v>
      </c>
      <c r="C370" s="1" t="n">
        <v>45509</v>
      </c>
      <c r="D370" t="inlineStr">
        <is>
          <t>ÖREBRO LÄN</t>
        </is>
      </c>
      <c r="E370" t="inlineStr">
        <is>
          <t>LAXÅ</t>
        </is>
      </c>
      <c r="F370" t="inlineStr">
        <is>
          <t>Sveaskog</t>
        </is>
      </c>
      <c r="G370" t="n">
        <v>5.2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51676-2022</t>
        </is>
      </c>
      <c r="B371" s="1" t="n">
        <v>44872</v>
      </c>
      <c r="C371" s="1" t="n">
        <v>45509</v>
      </c>
      <c r="D371" t="inlineStr">
        <is>
          <t>ÖREBRO LÄN</t>
        </is>
      </c>
      <c r="E371" t="inlineStr">
        <is>
          <t>LAXÅ</t>
        </is>
      </c>
      <c r="F371" t="inlineStr">
        <is>
          <t>Sveaskog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51697-2022</t>
        </is>
      </c>
      <c r="B372" s="1" t="n">
        <v>44872</v>
      </c>
      <c r="C372" s="1" t="n">
        <v>45509</v>
      </c>
      <c r="D372" t="inlineStr">
        <is>
          <t>ÖREBRO LÄN</t>
        </is>
      </c>
      <c r="E372" t="inlineStr">
        <is>
          <t>LAXÅ</t>
        </is>
      </c>
      <c r="F372" t="inlineStr">
        <is>
          <t>Sveaskog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51677-2022</t>
        </is>
      </c>
      <c r="B373" s="1" t="n">
        <v>44872</v>
      </c>
      <c r="C373" s="1" t="n">
        <v>45509</v>
      </c>
      <c r="D373" t="inlineStr">
        <is>
          <t>ÖREBRO LÄN</t>
        </is>
      </c>
      <c r="E373" t="inlineStr">
        <is>
          <t>LAXÅ</t>
        </is>
      </c>
      <c r="F373" t="inlineStr">
        <is>
          <t>Sveaskog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51714-2022</t>
        </is>
      </c>
      <c r="B374" s="1" t="n">
        <v>44872</v>
      </c>
      <c r="C374" s="1" t="n">
        <v>45509</v>
      </c>
      <c r="D374" t="inlineStr">
        <is>
          <t>ÖREBRO LÄN</t>
        </is>
      </c>
      <c r="E374" t="inlineStr">
        <is>
          <t>LAXÅ</t>
        </is>
      </c>
      <c r="F374" t="inlineStr">
        <is>
          <t>Sveaskog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51698-2022</t>
        </is>
      </c>
      <c r="B375" s="1" t="n">
        <v>44872</v>
      </c>
      <c r="C375" s="1" t="n">
        <v>45509</v>
      </c>
      <c r="D375" t="inlineStr">
        <is>
          <t>ÖREBRO LÄN</t>
        </is>
      </c>
      <c r="E375" t="inlineStr">
        <is>
          <t>LAXÅ</t>
        </is>
      </c>
      <c r="F375" t="inlineStr">
        <is>
          <t>Sveaskog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51715-2022</t>
        </is>
      </c>
      <c r="B376" s="1" t="n">
        <v>44872</v>
      </c>
      <c r="C376" s="1" t="n">
        <v>45509</v>
      </c>
      <c r="D376" t="inlineStr">
        <is>
          <t>ÖREBRO LÄN</t>
        </is>
      </c>
      <c r="E376" t="inlineStr">
        <is>
          <t>LAXÅ</t>
        </is>
      </c>
      <c r="F376" t="inlineStr">
        <is>
          <t>Sveaskog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51725-2022</t>
        </is>
      </c>
      <c r="B377" s="1" t="n">
        <v>44872</v>
      </c>
      <c r="C377" s="1" t="n">
        <v>45509</v>
      </c>
      <c r="D377" t="inlineStr">
        <is>
          <t>ÖREBRO LÄN</t>
        </is>
      </c>
      <c r="E377" t="inlineStr">
        <is>
          <t>LAXÅ</t>
        </is>
      </c>
      <c r="F377" t="inlineStr">
        <is>
          <t>Sveaskog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51731-2022</t>
        </is>
      </c>
      <c r="B378" s="1" t="n">
        <v>44872</v>
      </c>
      <c r="C378" s="1" t="n">
        <v>45509</v>
      </c>
      <c r="D378" t="inlineStr">
        <is>
          <t>ÖREBRO LÄN</t>
        </is>
      </c>
      <c r="E378" t="inlineStr">
        <is>
          <t>LAXÅ</t>
        </is>
      </c>
      <c r="F378" t="inlineStr">
        <is>
          <t>Sveaskog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51821-2022</t>
        </is>
      </c>
      <c r="B379" s="1" t="n">
        <v>44872</v>
      </c>
      <c r="C379" s="1" t="n">
        <v>45509</v>
      </c>
      <c r="D379" t="inlineStr">
        <is>
          <t>ÖREBRO LÄN</t>
        </is>
      </c>
      <c r="E379" t="inlineStr">
        <is>
          <t>LAXÅ</t>
        </is>
      </c>
      <c r="F379" t="inlineStr">
        <is>
          <t>Sveaskog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51679-2022</t>
        </is>
      </c>
      <c r="B380" s="1" t="n">
        <v>44872</v>
      </c>
      <c r="C380" s="1" t="n">
        <v>45509</v>
      </c>
      <c r="D380" t="inlineStr">
        <is>
          <t>ÖREBRO LÄN</t>
        </is>
      </c>
      <c r="E380" t="inlineStr">
        <is>
          <t>LAXÅ</t>
        </is>
      </c>
      <c r="F380" t="inlineStr">
        <is>
          <t>Sveaskog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51695-2022</t>
        </is>
      </c>
      <c r="B381" s="1" t="n">
        <v>44872</v>
      </c>
      <c r="C381" s="1" t="n">
        <v>45509</v>
      </c>
      <c r="D381" t="inlineStr">
        <is>
          <t>ÖREBRO LÄN</t>
        </is>
      </c>
      <c r="E381" t="inlineStr">
        <is>
          <t>LAXÅ</t>
        </is>
      </c>
      <c r="F381" t="inlineStr">
        <is>
          <t>Sveaskog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51716-2022</t>
        </is>
      </c>
      <c r="B382" s="1" t="n">
        <v>44872</v>
      </c>
      <c r="C382" s="1" t="n">
        <v>45509</v>
      </c>
      <c r="D382" t="inlineStr">
        <is>
          <t>ÖREBRO LÄN</t>
        </is>
      </c>
      <c r="E382" t="inlineStr">
        <is>
          <t>LAXÅ</t>
        </is>
      </c>
      <c r="F382" t="inlineStr">
        <is>
          <t>Sveaskog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51822-2022</t>
        </is>
      </c>
      <c r="B383" s="1" t="n">
        <v>44872</v>
      </c>
      <c r="C383" s="1" t="n">
        <v>45509</v>
      </c>
      <c r="D383" t="inlineStr">
        <is>
          <t>ÖREBRO LÄN</t>
        </is>
      </c>
      <c r="E383" t="inlineStr">
        <is>
          <t>LAXÅ</t>
        </is>
      </c>
      <c r="F383" t="inlineStr">
        <is>
          <t>Sveaskog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51828-2022</t>
        </is>
      </c>
      <c r="B384" s="1" t="n">
        <v>44872</v>
      </c>
      <c r="C384" s="1" t="n">
        <v>45509</v>
      </c>
      <c r="D384" t="inlineStr">
        <is>
          <t>ÖREBRO LÄN</t>
        </is>
      </c>
      <c r="E384" t="inlineStr">
        <is>
          <t>LAXÅ</t>
        </is>
      </c>
      <c r="F384" t="inlineStr">
        <is>
          <t>Sveaskog</t>
        </is>
      </c>
      <c r="G384" t="n">
        <v>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51823-2022</t>
        </is>
      </c>
      <c r="B385" s="1" t="n">
        <v>44872</v>
      </c>
      <c r="C385" s="1" t="n">
        <v>45509</v>
      </c>
      <c r="D385" t="inlineStr">
        <is>
          <t>ÖREBRO LÄN</t>
        </is>
      </c>
      <c r="E385" t="inlineStr">
        <is>
          <t>LAXÅ</t>
        </is>
      </c>
      <c r="F385" t="inlineStr">
        <is>
          <t>Sveaskog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52461-2022</t>
        </is>
      </c>
      <c r="B386" s="1" t="n">
        <v>44874</v>
      </c>
      <c r="C386" s="1" t="n">
        <v>45509</v>
      </c>
      <c r="D386" t="inlineStr">
        <is>
          <t>ÖREBRO LÄN</t>
        </is>
      </c>
      <c r="E386" t="inlineStr">
        <is>
          <t>LAXÅ</t>
        </is>
      </c>
      <c r="F386" t="inlineStr">
        <is>
          <t>Sveaskog</t>
        </is>
      </c>
      <c r="G386" t="n">
        <v>6.3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52442-2022</t>
        </is>
      </c>
      <c r="B387" s="1" t="n">
        <v>44874</v>
      </c>
      <c r="C387" s="1" t="n">
        <v>45509</v>
      </c>
      <c r="D387" t="inlineStr">
        <is>
          <t>ÖREBRO LÄN</t>
        </is>
      </c>
      <c r="E387" t="inlineStr">
        <is>
          <t>LAXÅ</t>
        </is>
      </c>
      <c r="F387" t="inlineStr">
        <is>
          <t>Sveaskog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52460-2022</t>
        </is>
      </c>
      <c r="B388" s="1" t="n">
        <v>44874</v>
      </c>
      <c r="C388" s="1" t="n">
        <v>45509</v>
      </c>
      <c r="D388" t="inlineStr">
        <is>
          <t>ÖREBRO LÄN</t>
        </is>
      </c>
      <c r="E388" t="inlineStr">
        <is>
          <t>LAXÅ</t>
        </is>
      </c>
      <c r="F388" t="inlineStr">
        <is>
          <t>Sveaskog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54411-2022</t>
        </is>
      </c>
      <c r="B389" s="1" t="n">
        <v>44879</v>
      </c>
      <c r="C389" s="1" t="n">
        <v>45509</v>
      </c>
      <c r="D389" t="inlineStr">
        <is>
          <t>ÖREBRO LÄN</t>
        </is>
      </c>
      <c r="E389" t="inlineStr">
        <is>
          <t>LAXÅ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54107-2022</t>
        </is>
      </c>
      <c r="B390" s="1" t="n">
        <v>44881</v>
      </c>
      <c r="C390" s="1" t="n">
        <v>45509</v>
      </c>
      <c r="D390" t="inlineStr">
        <is>
          <t>ÖREBRO LÄN</t>
        </is>
      </c>
      <c r="E390" t="inlineStr">
        <is>
          <t>LAXÅ</t>
        </is>
      </c>
      <c r="F390" t="inlineStr">
        <is>
          <t>Sveaskog</t>
        </is>
      </c>
      <c r="G390" t="n">
        <v>12.5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54291-2022</t>
        </is>
      </c>
      <c r="B391" s="1" t="n">
        <v>44882</v>
      </c>
      <c r="C391" s="1" t="n">
        <v>45509</v>
      </c>
      <c r="D391" t="inlineStr">
        <is>
          <t>ÖREBRO LÄN</t>
        </is>
      </c>
      <c r="E391" t="inlineStr">
        <is>
          <t>LAXÅ</t>
        </is>
      </c>
      <c r="F391" t="inlineStr">
        <is>
          <t>Sveaskog</t>
        </is>
      </c>
      <c r="G391" t="n">
        <v>7.6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54300-2022</t>
        </is>
      </c>
      <c r="B392" s="1" t="n">
        <v>44882</v>
      </c>
      <c r="C392" s="1" t="n">
        <v>45509</v>
      </c>
      <c r="D392" t="inlineStr">
        <is>
          <t>ÖREBRO LÄN</t>
        </is>
      </c>
      <c r="E392" t="inlineStr">
        <is>
          <t>LAXÅ</t>
        </is>
      </c>
      <c r="F392" t="inlineStr">
        <is>
          <t>Sveaskog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54304-2022</t>
        </is>
      </c>
      <c r="B393" s="1" t="n">
        <v>44882</v>
      </c>
      <c r="C393" s="1" t="n">
        <v>45509</v>
      </c>
      <c r="D393" t="inlineStr">
        <is>
          <t>ÖREBRO LÄN</t>
        </is>
      </c>
      <c r="E393" t="inlineStr">
        <is>
          <t>LAXÅ</t>
        </is>
      </c>
      <c r="F393" t="inlineStr">
        <is>
          <t>Sveaskog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54295-2022</t>
        </is>
      </c>
      <c r="B394" s="1" t="n">
        <v>44882</v>
      </c>
      <c r="C394" s="1" t="n">
        <v>45509</v>
      </c>
      <c r="D394" t="inlineStr">
        <is>
          <t>ÖREBRO LÄN</t>
        </is>
      </c>
      <c r="E394" t="inlineStr">
        <is>
          <t>LAXÅ</t>
        </is>
      </c>
      <c r="F394" t="inlineStr">
        <is>
          <t>Sveaskog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54299-2022</t>
        </is>
      </c>
      <c r="B395" s="1" t="n">
        <v>44882</v>
      </c>
      <c r="C395" s="1" t="n">
        <v>45509</v>
      </c>
      <c r="D395" t="inlineStr">
        <is>
          <t>ÖREBRO LÄN</t>
        </is>
      </c>
      <c r="E395" t="inlineStr">
        <is>
          <t>LAXÅ</t>
        </is>
      </c>
      <c r="F395" t="inlineStr">
        <is>
          <t>Sveaskog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54294-2022</t>
        </is>
      </c>
      <c r="B396" s="1" t="n">
        <v>44882</v>
      </c>
      <c r="C396" s="1" t="n">
        <v>45509</v>
      </c>
      <c r="D396" t="inlineStr">
        <is>
          <t>ÖREBRO LÄN</t>
        </is>
      </c>
      <c r="E396" t="inlineStr">
        <is>
          <t>LAXÅ</t>
        </is>
      </c>
      <c r="F396" t="inlineStr">
        <is>
          <t>Sveaskog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54292-2022</t>
        </is>
      </c>
      <c r="B397" s="1" t="n">
        <v>44882</v>
      </c>
      <c r="C397" s="1" t="n">
        <v>45509</v>
      </c>
      <c r="D397" t="inlineStr">
        <is>
          <t>ÖREBRO LÄN</t>
        </is>
      </c>
      <c r="E397" t="inlineStr">
        <is>
          <t>LAXÅ</t>
        </is>
      </c>
      <c r="F397" t="inlineStr">
        <is>
          <t>Sveaskog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54330-2022</t>
        </is>
      </c>
      <c r="B398" s="1" t="n">
        <v>44882</v>
      </c>
      <c r="C398" s="1" t="n">
        <v>45509</v>
      </c>
      <c r="D398" t="inlineStr">
        <is>
          <t>ÖREBRO LÄN</t>
        </is>
      </c>
      <c r="E398" t="inlineStr">
        <is>
          <t>LAXÅ</t>
        </is>
      </c>
      <c r="F398" t="inlineStr">
        <is>
          <t>Sveaskog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54303-2022</t>
        </is>
      </c>
      <c r="B399" s="1" t="n">
        <v>44882</v>
      </c>
      <c r="C399" s="1" t="n">
        <v>45509</v>
      </c>
      <c r="D399" t="inlineStr">
        <is>
          <t>ÖREBRO LÄN</t>
        </is>
      </c>
      <c r="E399" t="inlineStr">
        <is>
          <t>LAXÅ</t>
        </is>
      </c>
      <c r="F399" t="inlineStr">
        <is>
          <t>Sveaskog</t>
        </is>
      </c>
      <c r="G399" t="n">
        <v>5.7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54328-2022</t>
        </is>
      </c>
      <c r="B400" s="1" t="n">
        <v>44882</v>
      </c>
      <c r="C400" s="1" t="n">
        <v>45509</v>
      </c>
      <c r="D400" t="inlineStr">
        <is>
          <t>ÖREBRO LÄN</t>
        </is>
      </c>
      <c r="E400" t="inlineStr">
        <is>
          <t>LAXÅ</t>
        </is>
      </c>
      <c r="F400" t="inlineStr">
        <is>
          <t>Sveaskog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54302-2022</t>
        </is>
      </c>
      <c r="B401" s="1" t="n">
        <v>44882</v>
      </c>
      <c r="C401" s="1" t="n">
        <v>45509</v>
      </c>
      <c r="D401" t="inlineStr">
        <is>
          <t>ÖREBRO LÄN</t>
        </is>
      </c>
      <c r="E401" t="inlineStr">
        <is>
          <t>LAXÅ</t>
        </is>
      </c>
      <c r="F401" t="inlineStr">
        <is>
          <t>Sveaskog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54327-2022</t>
        </is>
      </c>
      <c r="B402" s="1" t="n">
        <v>44882</v>
      </c>
      <c r="C402" s="1" t="n">
        <v>45509</v>
      </c>
      <c r="D402" t="inlineStr">
        <is>
          <t>ÖREBRO LÄN</t>
        </is>
      </c>
      <c r="E402" t="inlineStr">
        <is>
          <t>LAXÅ</t>
        </is>
      </c>
      <c r="F402" t="inlineStr">
        <is>
          <t>Sveaskog</t>
        </is>
      </c>
      <c r="G402" t="n">
        <v>4.2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56135-2022</t>
        </is>
      </c>
      <c r="B403" s="1" t="n">
        <v>44886</v>
      </c>
      <c r="C403" s="1" t="n">
        <v>45509</v>
      </c>
      <c r="D403" t="inlineStr">
        <is>
          <t>ÖREBRO LÄN</t>
        </is>
      </c>
      <c r="E403" t="inlineStr">
        <is>
          <t>LAXÅ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56134-2022</t>
        </is>
      </c>
      <c r="B404" s="1" t="n">
        <v>44889</v>
      </c>
      <c r="C404" s="1" t="n">
        <v>45509</v>
      </c>
      <c r="D404" t="inlineStr">
        <is>
          <t>ÖREBRO LÄN</t>
        </is>
      </c>
      <c r="E404" t="inlineStr">
        <is>
          <t>LAXÅ</t>
        </is>
      </c>
      <c r="F404" t="inlineStr">
        <is>
          <t>Sveaskog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56236-2022</t>
        </is>
      </c>
      <c r="B405" s="1" t="n">
        <v>44890</v>
      </c>
      <c r="C405" s="1" t="n">
        <v>45509</v>
      </c>
      <c r="D405" t="inlineStr">
        <is>
          <t>ÖREBRO LÄN</t>
        </is>
      </c>
      <c r="E405" t="inlineStr">
        <is>
          <t>LAXÅ</t>
        </is>
      </c>
      <c r="F405" t="inlineStr">
        <is>
          <t>Sveaskog</t>
        </is>
      </c>
      <c r="G405" t="n">
        <v>6.3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59228-2022</t>
        </is>
      </c>
      <c r="B406" s="1" t="n">
        <v>44896</v>
      </c>
      <c r="C406" s="1" t="n">
        <v>45509</v>
      </c>
      <c r="D406" t="inlineStr">
        <is>
          <t>ÖREBRO LÄN</t>
        </is>
      </c>
      <c r="E406" t="inlineStr">
        <is>
          <t>LAXÅ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57613-2022</t>
        </is>
      </c>
      <c r="B407" s="1" t="n">
        <v>44897</v>
      </c>
      <c r="C407" s="1" t="n">
        <v>45509</v>
      </c>
      <c r="D407" t="inlineStr">
        <is>
          <t>ÖREBRO LÄN</t>
        </is>
      </c>
      <c r="E407" t="inlineStr">
        <is>
          <t>LAXÅ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57749-2022</t>
        </is>
      </c>
      <c r="B408" s="1" t="n">
        <v>44897</v>
      </c>
      <c r="C408" s="1" t="n">
        <v>45509</v>
      </c>
      <c r="D408" t="inlineStr">
        <is>
          <t>ÖREBRO LÄN</t>
        </is>
      </c>
      <c r="E408" t="inlineStr">
        <is>
          <t>LAXÅ</t>
        </is>
      </c>
      <c r="F408" t="inlineStr">
        <is>
          <t>Sveaskog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57753-2022</t>
        </is>
      </c>
      <c r="B409" s="1" t="n">
        <v>44897</v>
      </c>
      <c r="C409" s="1" t="n">
        <v>45509</v>
      </c>
      <c r="D409" t="inlineStr">
        <is>
          <t>ÖREBRO LÄN</t>
        </is>
      </c>
      <c r="E409" t="inlineStr">
        <is>
          <t>LAXÅ</t>
        </is>
      </c>
      <c r="F409" t="inlineStr">
        <is>
          <t>Sveaskog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57747-2022</t>
        </is>
      </c>
      <c r="B410" s="1" t="n">
        <v>44897</v>
      </c>
      <c r="C410" s="1" t="n">
        <v>45509</v>
      </c>
      <c r="D410" t="inlineStr">
        <is>
          <t>ÖREBRO LÄN</t>
        </is>
      </c>
      <c r="E410" t="inlineStr">
        <is>
          <t>LAXÅ</t>
        </is>
      </c>
      <c r="F410" t="inlineStr">
        <is>
          <t>Sveaskog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57751-2022</t>
        </is>
      </c>
      <c r="B411" s="1" t="n">
        <v>44897</v>
      </c>
      <c r="C411" s="1" t="n">
        <v>45509</v>
      </c>
      <c r="D411" t="inlineStr">
        <is>
          <t>ÖREBRO LÄN</t>
        </is>
      </c>
      <c r="E411" t="inlineStr">
        <is>
          <t>LAXÅ</t>
        </is>
      </c>
      <c r="F411" t="inlineStr">
        <is>
          <t>Sveaskog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57756-2022</t>
        </is>
      </c>
      <c r="B412" s="1" t="n">
        <v>44897</v>
      </c>
      <c r="C412" s="1" t="n">
        <v>45509</v>
      </c>
      <c r="D412" t="inlineStr">
        <is>
          <t>ÖREBRO LÄN</t>
        </is>
      </c>
      <c r="E412" t="inlineStr">
        <is>
          <t>LAXÅ</t>
        </is>
      </c>
      <c r="F412" t="inlineStr">
        <is>
          <t>Sveaskog</t>
        </is>
      </c>
      <c r="G412" t="n">
        <v>8.4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58978-2022</t>
        </is>
      </c>
      <c r="B413" s="1" t="n">
        <v>44903</v>
      </c>
      <c r="C413" s="1" t="n">
        <v>45509</v>
      </c>
      <c r="D413" t="inlineStr">
        <is>
          <t>ÖREBRO LÄN</t>
        </is>
      </c>
      <c r="E413" t="inlineStr">
        <is>
          <t>LAXÅ</t>
        </is>
      </c>
      <c r="F413" t="inlineStr">
        <is>
          <t>Sveaskog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58977-2022</t>
        </is>
      </c>
      <c r="B414" s="1" t="n">
        <v>44903</v>
      </c>
      <c r="C414" s="1" t="n">
        <v>45509</v>
      </c>
      <c r="D414" t="inlineStr">
        <is>
          <t>ÖREBRO LÄN</t>
        </is>
      </c>
      <c r="E414" t="inlineStr">
        <is>
          <t>LAXÅ</t>
        </is>
      </c>
      <c r="F414" t="inlineStr">
        <is>
          <t>Sveaskog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59455-2022</t>
        </is>
      </c>
      <c r="B415" s="1" t="n">
        <v>44907</v>
      </c>
      <c r="C415" s="1" t="n">
        <v>45509</v>
      </c>
      <c r="D415" t="inlineStr">
        <is>
          <t>ÖREBRO LÄN</t>
        </is>
      </c>
      <c r="E415" t="inlineStr">
        <is>
          <t>LAXÅ</t>
        </is>
      </c>
      <c r="F415" t="inlineStr">
        <is>
          <t>Sveaskog</t>
        </is>
      </c>
      <c r="G415" t="n">
        <v>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59454-2022</t>
        </is>
      </c>
      <c r="B416" s="1" t="n">
        <v>44907</v>
      </c>
      <c r="C416" s="1" t="n">
        <v>45509</v>
      </c>
      <c r="D416" t="inlineStr">
        <is>
          <t>ÖREBRO LÄN</t>
        </is>
      </c>
      <c r="E416" t="inlineStr">
        <is>
          <t>LAXÅ</t>
        </is>
      </c>
      <c r="F416" t="inlineStr">
        <is>
          <t>Sveaskog</t>
        </is>
      </c>
      <c r="G416" t="n">
        <v>4.2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59457-2022</t>
        </is>
      </c>
      <c r="B417" s="1" t="n">
        <v>44907</v>
      </c>
      <c r="C417" s="1" t="n">
        <v>45509</v>
      </c>
      <c r="D417" t="inlineStr">
        <is>
          <t>ÖREBRO LÄN</t>
        </is>
      </c>
      <c r="E417" t="inlineStr">
        <is>
          <t>LAXÅ</t>
        </is>
      </c>
      <c r="F417" t="inlineStr">
        <is>
          <t>Sveaskog</t>
        </is>
      </c>
      <c r="G417" t="n">
        <v>5.5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59453-2022</t>
        </is>
      </c>
      <c r="B418" s="1" t="n">
        <v>44907</v>
      </c>
      <c r="C418" s="1" t="n">
        <v>45509</v>
      </c>
      <c r="D418" t="inlineStr">
        <is>
          <t>ÖREBRO LÄN</t>
        </is>
      </c>
      <c r="E418" t="inlineStr">
        <is>
          <t>LAXÅ</t>
        </is>
      </c>
      <c r="F418" t="inlineStr">
        <is>
          <t>Sveaskog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59657-2022</t>
        </is>
      </c>
      <c r="B419" s="1" t="n">
        <v>44908</v>
      </c>
      <c r="C419" s="1" t="n">
        <v>45509</v>
      </c>
      <c r="D419" t="inlineStr">
        <is>
          <t>ÖREBRO LÄN</t>
        </is>
      </c>
      <c r="E419" t="inlineStr">
        <is>
          <t>LAXÅ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61677-2022</t>
        </is>
      </c>
      <c r="B420" s="1" t="n">
        <v>44917</v>
      </c>
      <c r="C420" s="1" t="n">
        <v>45509</v>
      </c>
      <c r="D420" t="inlineStr">
        <is>
          <t>ÖREBRO LÄN</t>
        </is>
      </c>
      <c r="E420" t="inlineStr">
        <is>
          <t>LAXÅ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3443-2023</t>
        </is>
      </c>
      <c r="B421" s="1" t="n">
        <v>44949</v>
      </c>
      <c r="C421" s="1" t="n">
        <v>45509</v>
      </c>
      <c r="D421" t="inlineStr">
        <is>
          <t>ÖREBRO LÄN</t>
        </is>
      </c>
      <c r="E421" t="inlineStr">
        <is>
          <t>LAXÅ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4771-2023</t>
        </is>
      </c>
      <c r="B422" s="1" t="n">
        <v>44957</v>
      </c>
      <c r="C422" s="1" t="n">
        <v>45509</v>
      </c>
      <c r="D422" t="inlineStr">
        <is>
          <t>ÖREBRO LÄN</t>
        </is>
      </c>
      <c r="E422" t="inlineStr">
        <is>
          <t>LAXÅ</t>
        </is>
      </c>
      <c r="F422" t="inlineStr">
        <is>
          <t>Sveaskog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4772-2023</t>
        </is>
      </c>
      <c r="B423" s="1" t="n">
        <v>44957</v>
      </c>
      <c r="C423" s="1" t="n">
        <v>45509</v>
      </c>
      <c r="D423" t="inlineStr">
        <is>
          <t>ÖREBRO LÄN</t>
        </is>
      </c>
      <c r="E423" t="inlineStr">
        <is>
          <t>LAXÅ</t>
        </is>
      </c>
      <c r="F423" t="inlineStr">
        <is>
          <t>Sveaskog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5917-2023</t>
        </is>
      </c>
      <c r="B424" s="1" t="n">
        <v>44963</v>
      </c>
      <c r="C424" s="1" t="n">
        <v>45509</v>
      </c>
      <c r="D424" t="inlineStr">
        <is>
          <t>ÖREBRO LÄN</t>
        </is>
      </c>
      <c r="E424" t="inlineStr">
        <is>
          <t>LAXÅ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8890-2023</t>
        </is>
      </c>
      <c r="B425" s="1" t="n">
        <v>44979</v>
      </c>
      <c r="C425" s="1" t="n">
        <v>45509</v>
      </c>
      <c r="D425" t="inlineStr">
        <is>
          <t>ÖREBRO LÄN</t>
        </is>
      </c>
      <c r="E425" t="inlineStr">
        <is>
          <t>LAXÅ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11139-2023</t>
        </is>
      </c>
      <c r="B426" s="1" t="n">
        <v>44987</v>
      </c>
      <c r="C426" s="1" t="n">
        <v>45509</v>
      </c>
      <c r="D426" t="inlineStr">
        <is>
          <t>ÖREBRO LÄN</t>
        </is>
      </c>
      <c r="E426" t="inlineStr">
        <is>
          <t>LAXÅ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10622-2023</t>
        </is>
      </c>
      <c r="B427" s="1" t="n">
        <v>44988</v>
      </c>
      <c r="C427" s="1" t="n">
        <v>45509</v>
      </c>
      <c r="D427" t="inlineStr">
        <is>
          <t>ÖREBRO LÄN</t>
        </is>
      </c>
      <c r="E427" t="inlineStr">
        <is>
          <t>LAXÅ</t>
        </is>
      </c>
      <c r="F427" t="inlineStr">
        <is>
          <t>Sveaskog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10624-2023</t>
        </is>
      </c>
      <c r="B428" s="1" t="n">
        <v>44988</v>
      </c>
      <c r="C428" s="1" t="n">
        <v>45509</v>
      </c>
      <c r="D428" t="inlineStr">
        <is>
          <t>ÖREBRO LÄN</t>
        </is>
      </c>
      <c r="E428" t="inlineStr">
        <is>
          <t>LAXÅ</t>
        </is>
      </c>
      <c r="F428" t="inlineStr">
        <is>
          <t>Sveaskog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10623-2023</t>
        </is>
      </c>
      <c r="B429" s="1" t="n">
        <v>44988</v>
      </c>
      <c r="C429" s="1" t="n">
        <v>45509</v>
      </c>
      <c r="D429" t="inlineStr">
        <is>
          <t>ÖREBRO LÄN</t>
        </is>
      </c>
      <c r="E429" t="inlineStr">
        <is>
          <t>LAXÅ</t>
        </is>
      </c>
      <c r="F429" t="inlineStr">
        <is>
          <t>Sveaskog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10625-2023</t>
        </is>
      </c>
      <c r="B430" s="1" t="n">
        <v>44988</v>
      </c>
      <c r="C430" s="1" t="n">
        <v>45509</v>
      </c>
      <c r="D430" t="inlineStr">
        <is>
          <t>ÖREBRO LÄN</t>
        </is>
      </c>
      <c r="E430" t="inlineStr">
        <is>
          <t>LAXÅ</t>
        </is>
      </c>
      <c r="F430" t="inlineStr">
        <is>
          <t>Sveaskog</t>
        </is>
      </c>
      <c r="G430" t="n">
        <v>3.1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10680-2023</t>
        </is>
      </c>
      <c r="B431" s="1" t="n">
        <v>44988</v>
      </c>
      <c r="C431" s="1" t="n">
        <v>45509</v>
      </c>
      <c r="D431" t="inlineStr">
        <is>
          <t>ÖREBRO LÄN</t>
        </is>
      </c>
      <c r="E431" t="inlineStr">
        <is>
          <t>LAXÅ</t>
        </is>
      </c>
      <c r="F431" t="inlineStr">
        <is>
          <t>Sveaskog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10673-2023</t>
        </is>
      </c>
      <c r="B432" s="1" t="n">
        <v>44988</v>
      </c>
      <c r="C432" s="1" t="n">
        <v>45509</v>
      </c>
      <c r="D432" t="inlineStr">
        <is>
          <t>ÖREBRO LÄN</t>
        </is>
      </c>
      <c r="E432" t="inlineStr">
        <is>
          <t>LAXÅ</t>
        </is>
      </c>
      <c r="F432" t="inlineStr">
        <is>
          <t>Sveaskog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10678-2023</t>
        </is>
      </c>
      <c r="B433" s="1" t="n">
        <v>44988</v>
      </c>
      <c r="C433" s="1" t="n">
        <v>45509</v>
      </c>
      <c r="D433" t="inlineStr">
        <is>
          <t>ÖREBRO LÄN</t>
        </is>
      </c>
      <c r="E433" t="inlineStr">
        <is>
          <t>LAXÅ</t>
        </is>
      </c>
      <c r="F433" t="inlineStr">
        <is>
          <t>Sveaskog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10676-2023</t>
        </is>
      </c>
      <c r="B434" s="1" t="n">
        <v>44988</v>
      </c>
      <c r="C434" s="1" t="n">
        <v>45509</v>
      </c>
      <c r="D434" t="inlineStr">
        <is>
          <t>ÖREBRO LÄN</t>
        </is>
      </c>
      <c r="E434" t="inlineStr">
        <is>
          <t>LAXÅ</t>
        </is>
      </c>
      <c r="F434" t="inlineStr">
        <is>
          <t>Sveaskog</t>
        </is>
      </c>
      <c r="G434" t="n">
        <v>5.8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10681-2023</t>
        </is>
      </c>
      <c r="B435" s="1" t="n">
        <v>44988</v>
      </c>
      <c r="C435" s="1" t="n">
        <v>45509</v>
      </c>
      <c r="D435" t="inlineStr">
        <is>
          <t>ÖREBRO LÄN</t>
        </is>
      </c>
      <c r="E435" t="inlineStr">
        <is>
          <t>LAXÅ</t>
        </is>
      </c>
      <c r="F435" t="inlineStr">
        <is>
          <t>Sveaskog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10677-2023</t>
        </is>
      </c>
      <c r="B436" s="1" t="n">
        <v>44988</v>
      </c>
      <c r="C436" s="1" t="n">
        <v>45509</v>
      </c>
      <c r="D436" t="inlineStr">
        <is>
          <t>ÖREBRO LÄN</t>
        </is>
      </c>
      <c r="E436" t="inlineStr">
        <is>
          <t>LAXÅ</t>
        </is>
      </c>
      <c r="F436" t="inlineStr">
        <is>
          <t>Sveaskog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11477-2023</t>
        </is>
      </c>
      <c r="B437" s="1" t="n">
        <v>44993</v>
      </c>
      <c r="C437" s="1" t="n">
        <v>45509</v>
      </c>
      <c r="D437" t="inlineStr">
        <is>
          <t>ÖREBRO LÄN</t>
        </is>
      </c>
      <c r="E437" t="inlineStr">
        <is>
          <t>LAXÅ</t>
        </is>
      </c>
      <c r="F437" t="inlineStr">
        <is>
          <t>Sveaskog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11476-2023</t>
        </is>
      </c>
      <c r="B438" s="1" t="n">
        <v>44993</v>
      </c>
      <c r="C438" s="1" t="n">
        <v>45509</v>
      </c>
      <c r="D438" t="inlineStr">
        <is>
          <t>ÖREBRO LÄN</t>
        </is>
      </c>
      <c r="E438" t="inlineStr">
        <is>
          <t>LAXÅ</t>
        </is>
      </c>
      <c r="F438" t="inlineStr">
        <is>
          <t>Sveaskog</t>
        </is>
      </c>
      <c r="G438" t="n">
        <v>6.2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11802-2023</t>
        </is>
      </c>
      <c r="B439" s="1" t="n">
        <v>44994</v>
      </c>
      <c r="C439" s="1" t="n">
        <v>45509</v>
      </c>
      <c r="D439" t="inlineStr">
        <is>
          <t>ÖREBRO LÄN</t>
        </is>
      </c>
      <c r="E439" t="inlineStr">
        <is>
          <t>LAXÅ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12178-2023</t>
        </is>
      </c>
      <c r="B440" s="1" t="n">
        <v>44998</v>
      </c>
      <c r="C440" s="1" t="n">
        <v>45509</v>
      </c>
      <c r="D440" t="inlineStr">
        <is>
          <t>ÖREBRO LÄN</t>
        </is>
      </c>
      <c r="E440" t="inlineStr">
        <is>
          <t>LAXÅ</t>
        </is>
      </c>
      <c r="F440" t="inlineStr">
        <is>
          <t>Sveaskog</t>
        </is>
      </c>
      <c r="G440" t="n">
        <v>5.4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12177-2023</t>
        </is>
      </c>
      <c r="B441" s="1" t="n">
        <v>44998</v>
      </c>
      <c r="C441" s="1" t="n">
        <v>45509</v>
      </c>
      <c r="D441" t="inlineStr">
        <is>
          <t>ÖREBRO LÄN</t>
        </is>
      </c>
      <c r="E441" t="inlineStr">
        <is>
          <t>LAXÅ</t>
        </is>
      </c>
      <c r="F441" t="inlineStr">
        <is>
          <t>Sveaskog</t>
        </is>
      </c>
      <c r="G441" t="n">
        <v>6.2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12430-2023</t>
        </is>
      </c>
      <c r="B442" s="1" t="n">
        <v>44998</v>
      </c>
      <c r="C442" s="1" t="n">
        <v>45509</v>
      </c>
      <c r="D442" t="inlineStr">
        <is>
          <t>ÖREBRO LÄN</t>
        </is>
      </c>
      <c r="E442" t="inlineStr">
        <is>
          <t>LAXÅ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12435-2023</t>
        </is>
      </c>
      <c r="B443" s="1" t="n">
        <v>44998</v>
      </c>
      <c r="C443" s="1" t="n">
        <v>45509</v>
      </c>
      <c r="D443" t="inlineStr">
        <is>
          <t>ÖREBRO LÄN</t>
        </is>
      </c>
      <c r="E443" t="inlineStr">
        <is>
          <t>LAXÅ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13142-2023</t>
        </is>
      </c>
      <c r="B444" s="1" t="n">
        <v>45002</v>
      </c>
      <c r="C444" s="1" t="n">
        <v>45509</v>
      </c>
      <c r="D444" t="inlineStr">
        <is>
          <t>ÖREBRO LÄN</t>
        </is>
      </c>
      <c r="E444" t="inlineStr">
        <is>
          <t>LAXÅ</t>
        </is>
      </c>
      <c r="F444" t="inlineStr">
        <is>
          <t>Sveaskog</t>
        </is>
      </c>
      <c r="G444" t="n">
        <v>7.7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15650-2023</t>
        </is>
      </c>
      <c r="B445" s="1" t="n">
        <v>45021</v>
      </c>
      <c r="C445" s="1" t="n">
        <v>45509</v>
      </c>
      <c r="D445" t="inlineStr">
        <is>
          <t>ÖREBRO LÄN</t>
        </is>
      </c>
      <c r="E445" t="inlineStr">
        <is>
          <t>LAXÅ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17031-2023</t>
        </is>
      </c>
      <c r="B446" s="1" t="n">
        <v>45034</v>
      </c>
      <c r="C446" s="1" t="n">
        <v>45509</v>
      </c>
      <c r="D446" t="inlineStr">
        <is>
          <t>ÖREBRO LÄN</t>
        </is>
      </c>
      <c r="E446" t="inlineStr">
        <is>
          <t>LAXÅ</t>
        </is>
      </c>
      <c r="F446" t="inlineStr">
        <is>
          <t>Sveaskog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18395-2023</t>
        </is>
      </c>
      <c r="B447" s="1" t="n">
        <v>45042</v>
      </c>
      <c r="C447" s="1" t="n">
        <v>45509</v>
      </c>
      <c r="D447" t="inlineStr">
        <is>
          <t>ÖREBRO LÄN</t>
        </is>
      </c>
      <c r="E447" t="inlineStr">
        <is>
          <t>LAXÅ</t>
        </is>
      </c>
      <c r="F447" t="inlineStr">
        <is>
          <t>Sveaskog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18390-2023</t>
        </is>
      </c>
      <c r="B448" s="1" t="n">
        <v>45042</v>
      </c>
      <c r="C448" s="1" t="n">
        <v>45509</v>
      </c>
      <c r="D448" t="inlineStr">
        <is>
          <t>ÖREBRO LÄN</t>
        </is>
      </c>
      <c r="E448" t="inlineStr">
        <is>
          <t>LAXÅ</t>
        </is>
      </c>
      <c r="F448" t="inlineStr">
        <is>
          <t>Sveaskog</t>
        </is>
      </c>
      <c r="G448" t="n">
        <v>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18394-2023</t>
        </is>
      </c>
      <c r="B449" s="1" t="n">
        <v>45042</v>
      </c>
      <c r="C449" s="1" t="n">
        <v>45509</v>
      </c>
      <c r="D449" t="inlineStr">
        <is>
          <t>ÖREBRO LÄN</t>
        </is>
      </c>
      <c r="E449" t="inlineStr">
        <is>
          <t>LAXÅ</t>
        </is>
      </c>
      <c r="F449" t="inlineStr">
        <is>
          <t>Sveaskog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18845-2023</t>
        </is>
      </c>
      <c r="B450" s="1" t="n">
        <v>45042</v>
      </c>
      <c r="C450" s="1" t="n">
        <v>45509</v>
      </c>
      <c r="D450" t="inlineStr">
        <is>
          <t>ÖREBRO LÄN</t>
        </is>
      </c>
      <c r="E450" t="inlineStr">
        <is>
          <t>LAXÅ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19179-2023</t>
        </is>
      </c>
      <c r="B451" s="1" t="n">
        <v>45048</v>
      </c>
      <c r="C451" s="1" t="n">
        <v>45509</v>
      </c>
      <c r="D451" t="inlineStr">
        <is>
          <t>ÖREBRO LÄN</t>
        </is>
      </c>
      <c r="E451" t="inlineStr">
        <is>
          <t>LAXÅ</t>
        </is>
      </c>
      <c r="F451" t="inlineStr">
        <is>
          <t>Sveaskog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19184-2023</t>
        </is>
      </c>
      <c r="B452" s="1" t="n">
        <v>45048</v>
      </c>
      <c r="C452" s="1" t="n">
        <v>45509</v>
      </c>
      <c r="D452" t="inlineStr">
        <is>
          <t>ÖREBRO LÄN</t>
        </is>
      </c>
      <c r="E452" t="inlineStr">
        <is>
          <t>LAXÅ</t>
        </is>
      </c>
      <c r="F452" t="inlineStr">
        <is>
          <t>Sveaskog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19183-2023</t>
        </is>
      </c>
      <c r="B453" s="1" t="n">
        <v>45048</v>
      </c>
      <c r="C453" s="1" t="n">
        <v>45509</v>
      </c>
      <c r="D453" t="inlineStr">
        <is>
          <t>ÖREBRO LÄN</t>
        </is>
      </c>
      <c r="E453" t="inlineStr">
        <is>
          <t>LAXÅ</t>
        </is>
      </c>
      <c r="F453" t="inlineStr">
        <is>
          <t>Sveaskog</t>
        </is>
      </c>
      <c r="G453" t="n">
        <v>5.8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19180-2023</t>
        </is>
      </c>
      <c r="B454" s="1" t="n">
        <v>45048</v>
      </c>
      <c r="C454" s="1" t="n">
        <v>45509</v>
      </c>
      <c r="D454" t="inlineStr">
        <is>
          <t>ÖREBRO LÄN</t>
        </is>
      </c>
      <c r="E454" t="inlineStr">
        <is>
          <t>LAXÅ</t>
        </is>
      </c>
      <c r="F454" t="inlineStr">
        <is>
          <t>Sveaskog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19177-2023</t>
        </is>
      </c>
      <c r="B455" s="1" t="n">
        <v>45048</v>
      </c>
      <c r="C455" s="1" t="n">
        <v>45509</v>
      </c>
      <c r="D455" t="inlineStr">
        <is>
          <t>ÖREBRO LÄN</t>
        </is>
      </c>
      <c r="E455" t="inlineStr">
        <is>
          <t>LAXÅ</t>
        </is>
      </c>
      <c r="F455" t="inlineStr">
        <is>
          <t>Sveaskog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19956-2023</t>
        </is>
      </c>
      <c r="B456" s="1" t="n">
        <v>45054</v>
      </c>
      <c r="C456" s="1" t="n">
        <v>45509</v>
      </c>
      <c r="D456" t="inlineStr">
        <is>
          <t>ÖREBRO LÄN</t>
        </is>
      </c>
      <c r="E456" t="inlineStr">
        <is>
          <t>LAXÅ</t>
        </is>
      </c>
      <c r="F456" t="inlineStr">
        <is>
          <t>Sveaskog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20306-2023</t>
        </is>
      </c>
      <c r="B457" s="1" t="n">
        <v>45056</v>
      </c>
      <c r="C457" s="1" t="n">
        <v>45509</v>
      </c>
      <c r="D457" t="inlineStr">
        <is>
          <t>ÖREBRO LÄN</t>
        </is>
      </c>
      <c r="E457" t="inlineStr">
        <is>
          <t>LAXÅ</t>
        </is>
      </c>
      <c r="F457" t="inlineStr">
        <is>
          <t>Sveaskog</t>
        </is>
      </c>
      <c r="G457" t="n">
        <v>6.3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20310-2023</t>
        </is>
      </c>
      <c r="B458" s="1" t="n">
        <v>45056</v>
      </c>
      <c r="C458" s="1" t="n">
        <v>45509</v>
      </c>
      <c r="D458" t="inlineStr">
        <is>
          <t>ÖREBRO LÄN</t>
        </is>
      </c>
      <c r="E458" t="inlineStr">
        <is>
          <t>LAXÅ</t>
        </is>
      </c>
      <c r="F458" t="inlineStr">
        <is>
          <t>Sveaskog</t>
        </is>
      </c>
      <c r="G458" t="n">
        <v>4.3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20442-2023</t>
        </is>
      </c>
      <c r="B459" s="1" t="n">
        <v>45056</v>
      </c>
      <c r="C459" s="1" t="n">
        <v>45509</v>
      </c>
      <c r="D459" t="inlineStr">
        <is>
          <t>ÖREBRO LÄN</t>
        </is>
      </c>
      <c r="E459" t="inlineStr">
        <is>
          <t>LAXÅ</t>
        </is>
      </c>
      <c r="F459" t="inlineStr">
        <is>
          <t>Sveaskog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20457-2023</t>
        </is>
      </c>
      <c r="B460" s="1" t="n">
        <v>45056</v>
      </c>
      <c r="C460" s="1" t="n">
        <v>45509</v>
      </c>
      <c r="D460" t="inlineStr">
        <is>
          <t>ÖREBRO LÄN</t>
        </is>
      </c>
      <c r="E460" t="inlineStr">
        <is>
          <t>LAXÅ</t>
        </is>
      </c>
      <c r="F460" t="inlineStr">
        <is>
          <t>Sveaskog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20307-2023</t>
        </is>
      </c>
      <c r="B461" s="1" t="n">
        <v>45056</v>
      </c>
      <c r="C461" s="1" t="n">
        <v>45509</v>
      </c>
      <c r="D461" t="inlineStr">
        <is>
          <t>ÖREBRO LÄN</t>
        </is>
      </c>
      <c r="E461" t="inlineStr">
        <is>
          <t>LAXÅ</t>
        </is>
      </c>
      <c r="F461" t="inlineStr">
        <is>
          <t>Sveaskog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20443-2023</t>
        </is>
      </c>
      <c r="B462" s="1" t="n">
        <v>45056</v>
      </c>
      <c r="C462" s="1" t="n">
        <v>45509</v>
      </c>
      <c r="D462" t="inlineStr">
        <is>
          <t>ÖREBRO LÄN</t>
        </is>
      </c>
      <c r="E462" t="inlineStr">
        <is>
          <t>LAXÅ</t>
        </is>
      </c>
      <c r="F462" t="inlineStr">
        <is>
          <t>Sveaskog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20308-2023</t>
        </is>
      </c>
      <c r="B463" s="1" t="n">
        <v>45056</v>
      </c>
      <c r="C463" s="1" t="n">
        <v>45509</v>
      </c>
      <c r="D463" t="inlineStr">
        <is>
          <t>ÖREBRO LÄN</t>
        </is>
      </c>
      <c r="E463" t="inlineStr">
        <is>
          <t>LAXÅ</t>
        </is>
      </c>
      <c r="F463" t="inlineStr">
        <is>
          <t>Sveaskog</t>
        </is>
      </c>
      <c r="G463" t="n">
        <v>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20445-2023</t>
        </is>
      </c>
      <c r="B464" s="1" t="n">
        <v>45057</v>
      </c>
      <c r="C464" s="1" t="n">
        <v>45509</v>
      </c>
      <c r="D464" t="inlineStr">
        <is>
          <t>ÖREBRO LÄN</t>
        </is>
      </c>
      <c r="E464" t="inlineStr">
        <is>
          <t>LAXÅ</t>
        </is>
      </c>
      <c r="F464" t="inlineStr">
        <is>
          <t>Sveaskog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20309-2023</t>
        </is>
      </c>
      <c r="B465" s="1" t="n">
        <v>45056</v>
      </c>
      <c r="C465" s="1" t="n">
        <v>45509</v>
      </c>
      <c r="D465" t="inlineStr">
        <is>
          <t>ÖREBRO LÄN</t>
        </is>
      </c>
      <c r="E465" t="inlineStr">
        <is>
          <t>LAXÅ</t>
        </is>
      </c>
      <c r="F465" t="inlineStr">
        <is>
          <t>Sveaskog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20446-2023</t>
        </is>
      </c>
      <c r="B466" s="1" t="n">
        <v>45057</v>
      </c>
      <c r="C466" s="1" t="n">
        <v>45509</v>
      </c>
      <c r="D466" t="inlineStr">
        <is>
          <t>ÖREBRO LÄN</t>
        </is>
      </c>
      <c r="E466" t="inlineStr">
        <is>
          <t>LAXÅ</t>
        </is>
      </c>
      <c r="F466" t="inlineStr">
        <is>
          <t>Sveaskog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20918-2023</t>
        </is>
      </c>
      <c r="B467" s="1" t="n">
        <v>45061</v>
      </c>
      <c r="C467" s="1" t="n">
        <v>45509</v>
      </c>
      <c r="D467" t="inlineStr">
        <is>
          <t>ÖREBRO LÄN</t>
        </is>
      </c>
      <c r="E467" t="inlineStr">
        <is>
          <t>LAXÅ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21212-2023</t>
        </is>
      </c>
      <c r="B468" s="1" t="n">
        <v>45062</v>
      </c>
      <c r="C468" s="1" t="n">
        <v>45509</v>
      </c>
      <c r="D468" t="inlineStr">
        <is>
          <t>ÖREBRO LÄN</t>
        </is>
      </c>
      <c r="E468" t="inlineStr">
        <is>
          <t>LAXÅ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21215-2023</t>
        </is>
      </c>
      <c r="B469" s="1" t="n">
        <v>45062</v>
      </c>
      <c r="C469" s="1" t="n">
        <v>45509</v>
      </c>
      <c r="D469" t="inlineStr">
        <is>
          <t>ÖREBRO LÄN</t>
        </is>
      </c>
      <c r="E469" t="inlineStr">
        <is>
          <t>LAXÅ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25515-2023</t>
        </is>
      </c>
      <c r="B470" s="1" t="n">
        <v>45089</v>
      </c>
      <c r="C470" s="1" t="n">
        <v>45509</v>
      </c>
      <c r="D470" t="inlineStr">
        <is>
          <t>ÖREBRO LÄN</t>
        </is>
      </c>
      <c r="E470" t="inlineStr">
        <is>
          <t>LAXÅ</t>
        </is>
      </c>
      <c r="F470" t="inlineStr">
        <is>
          <t>Övriga statliga verk och myndigheter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25509-2023</t>
        </is>
      </c>
      <c r="B471" s="1" t="n">
        <v>45089</v>
      </c>
      <c r="C471" s="1" t="n">
        <v>45509</v>
      </c>
      <c r="D471" t="inlineStr">
        <is>
          <t>ÖREBRO LÄN</t>
        </is>
      </c>
      <c r="E471" t="inlineStr">
        <is>
          <t>LAXÅ</t>
        </is>
      </c>
      <c r="F471" t="inlineStr">
        <is>
          <t>Övriga statliga verk och myndigheter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25517-2023</t>
        </is>
      </c>
      <c r="B472" s="1" t="n">
        <v>45089</v>
      </c>
      <c r="C472" s="1" t="n">
        <v>45509</v>
      </c>
      <c r="D472" t="inlineStr">
        <is>
          <t>ÖREBRO LÄN</t>
        </is>
      </c>
      <c r="E472" t="inlineStr">
        <is>
          <t>LAXÅ</t>
        </is>
      </c>
      <c r="F472" t="inlineStr">
        <is>
          <t>Övriga statliga verk och myndigheter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25512-2023</t>
        </is>
      </c>
      <c r="B473" s="1" t="n">
        <v>45089</v>
      </c>
      <c r="C473" s="1" t="n">
        <v>45509</v>
      </c>
      <c r="D473" t="inlineStr">
        <is>
          <t>ÖREBRO LÄN</t>
        </is>
      </c>
      <c r="E473" t="inlineStr">
        <is>
          <t>LAXÅ</t>
        </is>
      </c>
      <c r="F473" t="inlineStr">
        <is>
          <t>Övriga statliga verk och myndigheter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25521-2023</t>
        </is>
      </c>
      <c r="B474" s="1" t="n">
        <v>45089</v>
      </c>
      <c r="C474" s="1" t="n">
        <v>45509</v>
      </c>
      <c r="D474" t="inlineStr">
        <is>
          <t>ÖREBRO LÄN</t>
        </is>
      </c>
      <c r="E474" t="inlineStr">
        <is>
          <t>LAXÅ</t>
        </is>
      </c>
      <c r="F474" t="inlineStr">
        <is>
          <t>Övriga statliga verk och myndigheter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25602-2023</t>
        </is>
      </c>
      <c r="B475" s="1" t="n">
        <v>45089</v>
      </c>
      <c r="C475" s="1" t="n">
        <v>45509</v>
      </c>
      <c r="D475" t="inlineStr">
        <is>
          <t>ÖREBRO LÄN</t>
        </is>
      </c>
      <c r="E475" t="inlineStr">
        <is>
          <t>LAXÅ</t>
        </is>
      </c>
      <c r="F475" t="inlineStr">
        <is>
          <t>Övriga statliga verk och myndigheter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25745-2023</t>
        </is>
      </c>
      <c r="B476" s="1" t="n">
        <v>45090</v>
      </c>
      <c r="C476" s="1" t="n">
        <v>45509</v>
      </c>
      <c r="D476" t="inlineStr">
        <is>
          <t>ÖREBRO LÄN</t>
        </is>
      </c>
      <c r="E476" t="inlineStr">
        <is>
          <t>LAXÅ</t>
        </is>
      </c>
      <c r="F476" t="inlineStr">
        <is>
          <t>Sveaskog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25718-2023</t>
        </is>
      </c>
      <c r="B477" s="1" t="n">
        <v>45090</v>
      </c>
      <c r="C477" s="1" t="n">
        <v>45509</v>
      </c>
      <c r="D477" t="inlineStr">
        <is>
          <t>ÖREBRO LÄN</t>
        </is>
      </c>
      <c r="E477" t="inlineStr">
        <is>
          <t>LAXÅ</t>
        </is>
      </c>
      <c r="F477" t="inlineStr">
        <is>
          <t>Sveaskog</t>
        </is>
      </c>
      <c r="G477" t="n">
        <v>4.3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25746-2023</t>
        </is>
      </c>
      <c r="B478" s="1" t="n">
        <v>45090</v>
      </c>
      <c r="C478" s="1" t="n">
        <v>45509</v>
      </c>
      <c r="D478" t="inlineStr">
        <is>
          <t>ÖREBRO LÄN</t>
        </is>
      </c>
      <c r="E478" t="inlineStr">
        <is>
          <t>LAXÅ</t>
        </is>
      </c>
      <c r="F478" t="inlineStr">
        <is>
          <t>Sveaskog</t>
        </is>
      </c>
      <c r="G478" t="n">
        <v>6.6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25744-2023</t>
        </is>
      </c>
      <c r="B479" s="1" t="n">
        <v>45090</v>
      </c>
      <c r="C479" s="1" t="n">
        <v>45509</v>
      </c>
      <c r="D479" t="inlineStr">
        <is>
          <t>ÖREBRO LÄN</t>
        </is>
      </c>
      <c r="E479" t="inlineStr">
        <is>
          <t>LAXÅ</t>
        </is>
      </c>
      <c r="F479" t="inlineStr">
        <is>
          <t>Sveaskog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25747-2023</t>
        </is>
      </c>
      <c r="B480" s="1" t="n">
        <v>45090</v>
      </c>
      <c r="C480" s="1" t="n">
        <v>45509</v>
      </c>
      <c r="D480" t="inlineStr">
        <is>
          <t>ÖREBRO LÄN</t>
        </is>
      </c>
      <c r="E480" t="inlineStr">
        <is>
          <t>LAXÅ</t>
        </is>
      </c>
      <c r="F480" t="inlineStr">
        <is>
          <t>Sveaskog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26415-2023</t>
        </is>
      </c>
      <c r="B481" s="1" t="n">
        <v>45092</v>
      </c>
      <c r="C481" s="1" t="n">
        <v>45509</v>
      </c>
      <c r="D481" t="inlineStr">
        <is>
          <t>ÖREBRO LÄN</t>
        </is>
      </c>
      <c r="E481" t="inlineStr">
        <is>
          <t>LAXÅ</t>
        </is>
      </c>
      <c r="F481" t="inlineStr">
        <is>
          <t>Sveaskog</t>
        </is>
      </c>
      <c r="G481" t="n">
        <v>7.8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26402-2023</t>
        </is>
      </c>
      <c r="B482" s="1" t="n">
        <v>45092</v>
      </c>
      <c r="C482" s="1" t="n">
        <v>45509</v>
      </c>
      <c r="D482" t="inlineStr">
        <is>
          <t>ÖREBRO LÄN</t>
        </is>
      </c>
      <c r="E482" t="inlineStr">
        <is>
          <t>LAXÅ</t>
        </is>
      </c>
      <c r="F482" t="inlineStr">
        <is>
          <t>Sveaskog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26403-2023</t>
        </is>
      </c>
      <c r="B483" s="1" t="n">
        <v>45092</v>
      </c>
      <c r="C483" s="1" t="n">
        <v>45509</v>
      </c>
      <c r="D483" t="inlineStr">
        <is>
          <t>ÖREBRO LÄN</t>
        </is>
      </c>
      <c r="E483" t="inlineStr">
        <is>
          <t>LAXÅ</t>
        </is>
      </c>
      <c r="F483" t="inlineStr">
        <is>
          <t>Sveaskog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26412-2023</t>
        </is>
      </c>
      <c r="B484" s="1" t="n">
        <v>45092</v>
      </c>
      <c r="C484" s="1" t="n">
        <v>45509</v>
      </c>
      <c r="D484" t="inlineStr">
        <is>
          <t>ÖREBRO LÄN</t>
        </is>
      </c>
      <c r="E484" t="inlineStr">
        <is>
          <t>LAXÅ</t>
        </is>
      </c>
      <c r="F484" t="inlineStr">
        <is>
          <t>Sveaskog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28055-2023</t>
        </is>
      </c>
      <c r="B485" s="1" t="n">
        <v>45099</v>
      </c>
      <c r="C485" s="1" t="n">
        <v>45509</v>
      </c>
      <c r="D485" t="inlineStr">
        <is>
          <t>ÖREBRO LÄN</t>
        </is>
      </c>
      <c r="E485" t="inlineStr">
        <is>
          <t>LAXÅ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33640-2023</t>
        </is>
      </c>
      <c r="B486" s="1" t="n">
        <v>45119</v>
      </c>
      <c r="C486" s="1" t="n">
        <v>45509</v>
      </c>
      <c r="D486" t="inlineStr">
        <is>
          <t>ÖREBRO LÄN</t>
        </is>
      </c>
      <c r="E486" t="inlineStr">
        <is>
          <t>LAXÅ</t>
        </is>
      </c>
      <c r="G486" t="n">
        <v>6.8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34218-2023</t>
        </is>
      </c>
      <c r="B487" s="1" t="n">
        <v>45126</v>
      </c>
      <c r="C487" s="1" t="n">
        <v>45509</v>
      </c>
      <c r="D487" t="inlineStr">
        <is>
          <t>ÖREBRO LÄN</t>
        </is>
      </c>
      <c r="E487" t="inlineStr">
        <is>
          <t>LAXÅ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34225-2023</t>
        </is>
      </c>
      <c r="B488" s="1" t="n">
        <v>45126</v>
      </c>
      <c r="C488" s="1" t="n">
        <v>45509</v>
      </c>
      <c r="D488" t="inlineStr">
        <is>
          <t>ÖREBRO LÄN</t>
        </is>
      </c>
      <c r="E488" t="inlineStr">
        <is>
          <t>LAXÅ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34223-2023</t>
        </is>
      </c>
      <c r="B489" s="1" t="n">
        <v>45126</v>
      </c>
      <c r="C489" s="1" t="n">
        <v>45509</v>
      </c>
      <c r="D489" t="inlineStr">
        <is>
          <t>ÖREBRO LÄN</t>
        </is>
      </c>
      <c r="E489" t="inlineStr">
        <is>
          <t>LAXÅ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33186-2023</t>
        </is>
      </c>
      <c r="B490" s="1" t="n">
        <v>45127</v>
      </c>
      <c r="C490" s="1" t="n">
        <v>45509</v>
      </c>
      <c r="D490" t="inlineStr">
        <is>
          <t>ÖREBRO LÄN</t>
        </is>
      </c>
      <c r="E490" t="inlineStr">
        <is>
          <t>LAXÅ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33695-2023</t>
        </is>
      </c>
      <c r="B491" s="1" t="n">
        <v>45132</v>
      </c>
      <c r="C491" s="1" t="n">
        <v>45509</v>
      </c>
      <c r="D491" t="inlineStr">
        <is>
          <t>ÖREBRO LÄN</t>
        </is>
      </c>
      <c r="E491" t="inlineStr">
        <is>
          <t>LAXÅ</t>
        </is>
      </c>
      <c r="G491" t="n">
        <v>6.9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33699-2023</t>
        </is>
      </c>
      <c r="B492" s="1" t="n">
        <v>45132</v>
      </c>
      <c r="C492" s="1" t="n">
        <v>45509</v>
      </c>
      <c r="D492" t="inlineStr">
        <is>
          <t>ÖREBRO LÄN</t>
        </is>
      </c>
      <c r="E492" t="inlineStr">
        <is>
          <t>LAXÅ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33692-2023</t>
        </is>
      </c>
      <c r="B493" s="1" t="n">
        <v>45132</v>
      </c>
      <c r="C493" s="1" t="n">
        <v>45509</v>
      </c>
      <c r="D493" t="inlineStr">
        <is>
          <t>ÖREBRO LÄN</t>
        </is>
      </c>
      <c r="E493" t="inlineStr">
        <is>
          <t>LAXÅ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33696-2023</t>
        </is>
      </c>
      <c r="B494" s="1" t="n">
        <v>45132</v>
      </c>
      <c r="C494" s="1" t="n">
        <v>45509</v>
      </c>
      <c r="D494" t="inlineStr">
        <is>
          <t>ÖREBRO LÄN</t>
        </is>
      </c>
      <c r="E494" t="inlineStr">
        <is>
          <t>LAXÅ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33930-2023</t>
        </is>
      </c>
      <c r="B495" s="1" t="n">
        <v>45134</v>
      </c>
      <c r="C495" s="1" t="n">
        <v>45509</v>
      </c>
      <c r="D495" t="inlineStr">
        <is>
          <t>ÖREBRO LÄN</t>
        </is>
      </c>
      <c r="E495" t="inlineStr">
        <is>
          <t>LAXÅ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33929-2023</t>
        </is>
      </c>
      <c r="B496" s="1" t="n">
        <v>45134</v>
      </c>
      <c r="C496" s="1" t="n">
        <v>45509</v>
      </c>
      <c r="D496" t="inlineStr">
        <is>
          <t>ÖREBRO LÄN</t>
        </is>
      </c>
      <c r="E496" t="inlineStr">
        <is>
          <t>LAXÅ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37003-2023</t>
        </is>
      </c>
      <c r="B497" s="1" t="n">
        <v>45155</v>
      </c>
      <c r="C497" s="1" t="n">
        <v>45509</v>
      </c>
      <c r="D497" t="inlineStr">
        <is>
          <t>ÖREBRO LÄN</t>
        </is>
      </c>
      <c r="E497" t="inlineStr">
        <is>
          <t>LAXÅ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37570-2023</t>
        </is>
      </c>
      <c r="B498" s="1" t="n">
        <v>45159</v>
      </c>
      <c r="C498" s="1" t="n">
        <v>45509</v>
      </c>
      <c r="D498" t="inlineStr">
        <is>
          <t>ÖREBRO LÄN</t>
        </is>
      </c>
      <c r="E498" t="inlineStr">
        <is>
          <t>LAXÅ</t>
        </is>
      </c>
      <c r="F498" t="inlineStr">
        <is>
          <t>Sveaskog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37569-2023</t>
        </is>
      </c>
      <c r="B499" s="1" t="n">
        <v>45159</v>
      </c>
      <c r="C499" s="1" t="n">
        <v>45509</v>
      </c>
      <c r="D499" t="inlineStr">
        <is>
          <t>ÖREBRO LÄN</t>
        </is>
      </c>
      <c r="E499" t="inlineStr">
        <is>
          <t>LAXÅ</t>
        </is>
      </c>
      <c r="F499" t="inlineStr">
        <is>
          <t>Sveaskog</t>
        </is>
      </c>
      <c r="G499" t="n">
        <v>5.1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38620-2023</t>
        </is>
      </c>
      <c r="B500" s="1" t="n">
        <v>45160</v>
      </c>
      <c r="C500" s="1" t="n">
        <v>45509</v>
      </c>
      <c r="D500" t="inlineStr">
        <is>
          <t>ÖREBRO LÄN</t>
        </is>
      </c>
      <c r="E500" t="inlineStr">
        <is>
          <t>LAXÅ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38609-2023</t>
        </is>
      </c>
      <c r="B501" s="1" t="n">
        <v>45160</v>
      </c>
      <c r="C501" s="1" t="n">
        <v>45509</v>
      </c>
      <c r="D501" t="inlineStr">
        <is>
          <t>ÖREBRO LÄN</t>
        </is>
      </c>
      <c r="E501" t="inlineStr">
        <is>
          <t>LAXÅ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38633-2023</t>
        </is>
      </c>
      <c r="B502" s="1" t="n">
        <v>45160</v>
      </c>
      <c r="C502" s="1" t="n">
        <v>45509</v>
      </c>
      <c r="D502" t="inlineStr">
        <is>
          <t>ÖREBRO LÄN</t>
        </is>
      </c>
      <c r="E502" t="inlineStr">
        <is>
          <t>LAXÅ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38613-2023</t>
        </is>
      </c>
      <c r="B503" s="1" t="n">
        <v>45160</v>
      </c>
      <c r="C503" s="1" t="n">
        <v>45509</v>
      </c>
      <c r="D503" t="inlineStr">
        <is>
          <t>ÖREBRO LÄN</t>
        </is>
      </c>
      <c r="E503" t="inlineStr">
        <is>
          <t>LAXÅ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38629-2023</t>
        </is>
      </c>
      <c r="B504" s="1" t="n">
        <v>45160</v>
      </c>
      <c r="C504" s="1" t="n">
        <v>45509</v>
      </c>
      <c r="D504" t="inlineStr">
        <is>
          <t>ÖREBRO LÄN</t>
        </is>
      </c>
      <c r="E504" t="inlineStr">
        <is>
          <t>LAXÅ</t>
        </is>
      </c>
      <c r="G504" t="n">
        <v>4.2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38288-2023</t>
        </is>
      </c>
      <c r="B505" s="1" t="n">
        <v>45161</v>
      </c>
      <c r="C505" s="1" t="n">
        <v>45509</v>
      </c>
      <c r="D505" t="inlineStr">
        <is>
          <t>ÖREBRO LÄN</t>
        </is>
      </c>
      <c r="E505" t="inlineStr">
        <is>
          <t>LAXÅ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38733-2023</t>
        </is>
      </c>
      <c r="B506" s="1" t="n">
        <v>45163</v>
      </c>
      <c r="C506" s="1" t="n">
        <v>45509</v>
      </c>
      <c r="D506" t="inlineStr">
        <is>
          <t>ÖREBRO LÄN</t>
        </is>
      </c>
      <c r="E506" t="inlineStr">
        <is>
          <t>LAXÅ</t>
        </is>
      </c>
      <c r="F506" t="inlineStr">
        <is>
          <t>Sveaskog</t>
        </is>
      </c>
      <c r="G506" t="n">
        <v>11.6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38889-2023</t>
        </is>
      </c>
      <c r="B507" s="1" t="n">
        <v>45163</v>
      </c>
      <c r="C507" s="1" t="n">
        <v>45509</v>
      </c>
      <c r="D507" t="inlineStr">
        <is>
          <t>ÖREBRO LÄN</t>
        </is>
      </c>
      <c r="E507" t="inlineStr">
        <is>
          <t>LAXÅ</t>
        </is>
      </c>
      <c r="F507" t="inlineStr">
        <is>
          <t>Sveaskog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38732-2023</t>
        </is>
      </c>
      <c r="B508" s="1" t="n">
        <v>45163</v>
      </c>
      <c r="C508" s="1" t="n">
        <v>45509</v>
      </c>
      <c r="D508" t="inlineStr">
        <is>
          <t>ÖREBRO LÄN</t>
        </is>
      </c>
      <c r="E508" t="inlineStr">
        <is>
          <t>LAXÅ</t>
        </is>
      </c>
      <c r="F508" t="inlineStr">
        <is>
          <t>Sveaskog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41598-2023</t>
        </is>
      </c>
      <c r="B509" s="1" t="n">
        <v>45175</v>
      </c>
      <c r="C509" s="1" t="n">
        <v>45509</v>
      </c>
      <c r="D509" t="inlineStr">
        <is>
          <t>ÖREBRO LÄN</t>
        </is>
      </c>
      <c r="E509" t="inlineStr">
        <is>
          <t>LAXÅ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41459-2023</t>
        </is>
      </c>
      <c r="B510" s="1" t="n">
        <v>45175</v>
      </c>
      <c r="C510" s="1" t="n">
        <v>45509</v>
      </c>
      <c r="D510" t="inlineStr">
        <is>
          <t>ÖREBRO LÄN</t>
        </is>
      </c>
      <c r="E510" t="inlineStr">
        <is>
          <t>LAXÅ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41601-2023</t>
        </is>
      </c>
      <c r="B511" s="1" t="n">
        <v>45175</v>
      </c>
      <c r="C511" s="1" t="n">
        <v>45509</v>
      </c>
      <c r="D511" t="inlineStr">
        <is>
          <t>ÖREBRO LÄN</t>
        </is>
      </c>
      <c r="E511" t="inlineStr">
        <is>
          <t>LAXÅ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41456-2023</t>
        </is>
      </c>
      <c r="B512" s="1" t="n">
        <v>45175</v>
      </c>
      <c r="C512" s="1" t="n">
        <v>45509</v>
      </c>
      <c r="D512" t="inlineStr">
        <is>
          <t>ÖREBRO LÄN</t>
        </is>
      </c>
      <c r="E512" t="inlineStr">
        <is>
          <t>LAXÅ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42328-2023</t>
        </is>
      </c>
      <c r="B513" s="1" t="n">
        <v>45180</v>
      </c>
      <c r="C513" s="1" t="n">
        <v>45509</v>
      </c>
      <c r="D513" t="inlineStr">
        <is>
          <t>ÖREBRO LÄN</t>
        </is>
      </c>
      <c r="E513" t="inlineStr">
        <is>
          <t>LAXÅ</t>
        </is>
      </c>
      <c r="F513" t="inlineStr">
        <is>
          <t>Sveaskog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42326-2023</t>
        </is>
      </c>
      <c r="B514" s="1" t="n">
        <v>45180</v>
      </c>
      <c r="C514" s="1" t="n">
        <v>45509</v>
      </c>
      <c r="D514" t="inlineStr">
        <is>
          <t>ÖREBRO LÄN</t>
        </is>
      </c>
      <c r="E514" t="inlineStr">
        <is>
          <t>LAXÅ</t>
        </is>
      </c>
      <c r="F514" t="inlineStr">
        <is>
          <t>Sveaskog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42324-2023</t>
        </is>
      </c>
      <c r="B515" s="1" t="n">
        <v>45180</v>
      </c>
      <c r="C515" s="1" t="n">
        <v>45509</v>
      </c>
      <c r="D515" t="inlineStr">
        <is>
          <t>ÖREBRO LÄN</t>
        </is>
      </c>
      <c r="E515" t="inlineStr">
        <is>
          <t>LAXÅ</t>
        </is>
      </c>
      <c r="F515" t="inlineStr">
        <is>
          <t>Sveaskog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42661-2023</t>
        </is>
      </c>
      <c r="B516" s="1" t="n">
        <v>45181</v>
      </c>
      <c r="C516" s="1" t="n">
        <v>45509</v>
      </c>
      <c r="D516" t="inlineStr">
        <is>
          <t>ÖREBRO LÄN</t>
        </is>
      </c>
      <c r="E516" t="inlineStr">
        <is>
          <t>LAXÅ</t>
        </is>
      </c>
      <c r="F516" t="inlineStr">
        <is>
          <t>Sveaskog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43584-2023</t>
        </is>
      </c>
      <c r="B517" s="1" t="n">
        <v>45184</v>
      </c>
      <c r="C517" s="1" t="n">
        <v>45509</v>
      </c>
      <c r="D517" t="inlineStr">
        <is>
          <t>ÖREBRO LÄN</t>
        </is>
      </c>
      <c r="E517" t="inlineStr">
        <is>
          <t>LAXÅ</t>
        </is>
      </c>
      <c r="F517" t="inlineStr">
        <is>
          <t>Sveaskog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43579-2023</t>
        </is>
      </c>
      <c r="B518" s="1" t="n">
        <v>45184</v>
      </c>
      <c r="C518" s="1" t="n">
        <v>45509</v>
      </c>
      <c r="D518" t="inlineStr">
        <is>
          <t>ÖREBRO LÄN</t>
        </is>
      </c>
      <c r="E518" t="inlineStr">
        <is>
          <t>LAXÅ</t>
        </is>
      </c>
      <c r="F518" t="inlineStr">
        <is>
          <t>Sveaskog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43585-2023</t>
        </is>
      </c>
      <c r="B519" s="1" t="n">
        <v>45184</v>
      </c>
      <c r="C519" s="1" t="n">
        <v>45509</v>
      </c>
      <c r="D519" t="inlineStr">
        <is>
          <t>ÖREBRO LÄN</t>
        </is>
      </c>
      <c r="E519" t="inlineStr">
        <is>
          <t>LAXÅ</t>
        </is>
      </c>
      <c r="F519" t="inlineStr">
        <is>
          <t>Sveaskog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44800-2023</t>
        </is>
      </c>
      <c r="B520" s="1" t="n">
        <v>45190</v>
      </c>
      <c r="C520" s="1" t="n">
        <v>45509</v>
      </c>
      <c r="D520" t="inlineStr">
        <is>
          <t>ÖREBRO LÄN</t>
        </is>
      </c>
      <c r="E520" t="inlineStr">
        <is>
          <t>LAXÅ</t>
        </is>
      </c>
      <c r="F520" t="inlineStr">
        <is>
          <t>Sveaskog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46244-2023</t>
        </is>
      </c>
      <c r="B521" s="1" t="n">
        <v>45196</v>
      </c>
      <c r="C521" s="1" t="n">
        <v>45509</v>
      </c>
      <c r="D521" t="inlineStr">
        <is>
          <t>ÖREBRO LÄN</t>
        </is>
      </c>
      <c r="E521" t="inlineStr">
        <is>
          <t>LAXÅ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50122-2023</t>
        </is>
      </c>
      <c r="B522" s="1" t="n">
        <v>45208</v>
      </c>
      <c r="C522" s="1" t="n">
        <v>45509</v>
      </c>
      <c r="D522" t="inlineStr">
        <is>
          <t>ÖREBRO LÄN</t>
        </is>
      </c>
      <c r="E522" t="inlineStr">
        <is>
          <t>LAXÅ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48849-2023</t>
        </is>
      </c>
      <c r="B523" s="1" t="n">
        <v>45209</v>
      </c>
      <c r="C523" s="1" t="n">
        <v>45509</v>
      </c>
      <c r="D523" t="inlineStr">
        <is>
          <t>ÖREBRO LÄN</t>
        </is>
      </c>
      <c r="E523" t="inlineStr">
        <is>
          <t>LAXÅ</t>
        </is>
      </c>
      <c r="G523" t="n">
        <v>5.5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50402-2023</t>
        </is>
      </c>
      <c r="B524" s="1" t="n">
        <v>45216</v>
      </c>
      <c r="C524" s="1" t="n">
        <v>45509</v>
      </c>
      <c r="D524" t="inlineStr">
        <is>
          <t>ÖREBRO LÄN</t>
        </is>
      </c>
      <c r="E524" t="inlineStr">
        <is>
          <t>LAXÅ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52499-2023</t>
        </is>
      </c>
      <c r="B525" s="1" t="n">
        <v>45225</v>
      </c>
      <c r="C525" s="1" t="n">
        <v>45509</v>
      </c>
      <c r="D525" t="inlineStr">
        <is>
          <t>ÖREBRO LÄN</t>
        </is>
      </c>
      <c r="E525" t="inlineStr">
        <is>
          <t>LAXÅ</t>
        </is>
      </c>
      <c r="F525" t="inlineStr">
        <is>
          <t>Sveaskog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52501-2023</t>
        </is>
      </c>
      <c r="B526" s="1" t="n">
        <v>45225</v>
      </c>
      <c r="C526" s="1" t="n">
        <v>45509</v>
      </c>
      <c r="D526" t="inlineStr">
        <is>
          <t>ÖREBRO LÄN</t>
        </is>
      </c>
      <c r="E526" t="inlineStr">
        <is>
          <t>LAXÅ</t>
        </is>
      </c>
      <c r="F526" t="inlineStr">
        <is>
          <t>Sveaskog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54093-2023</t>
        </is>
      </c>
      <c r="B527" s="1" t="n">
        <v>45225</v>
      </c>
      <c r="C527" s="1" t="n">
        <v>45509</v>
      </c>
      <c r="D527" t="inlineStr">
        <is>
          <t>ÖREBRO LÄN</t>
        </is>
      </c>
      <c r="E527" t="inlineStr">
        <is>
          <t>LAXÅ</t>
        </is>
      </c>
      <c r="G527" t="n">
        <v>5.9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53016-2023</t>
        </is>
      </c>
      <c r="B528" s="1" t="n">
        <v>45226</v>
      </c>
      <c r="C528" s="1" t="n">
        <v>45509</v>
      </c>
      <c r="D528" t="inlineStr">
        <is>
          <t>ÖREBRO LÄN</t>
        </is>
      </c>
      <c r="E528" t="inlineStr">
        <is>
          <t>LAXÅ</t>
        </is>
      </c>
      <c r="F528" t="inlineStr">
        <is>
          <t>Sveaskog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53524-2023</t>
        </is>
      </c>
      <c r="B529" s="1" t="n">
        <v>45230</v>
      </c>
      <c r="C529" s="1" t="n">
        <v>45509</v>
      </c>
      <c r="D529" t="inlineStr">
        <is>
          <t>ÖREBRO LÄN</t>
        </is>
      </c>
      <c r="E529" t="inlineStr">
        <is>
          <t>LAXÅ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53545-2023</t>
        </is>
      </c>
      <c r="B530" s="1" t="n">
        <v>45230</v>
      </c>
      <c r="C530" s="1" t="n">
        <v>45509</v>
      </c>
      <c r="D530" t="inlineStr">
        <is>
          <t>ÖREBRO LÄN</t>
        </is>
      </c>
      <c r="E530" t="inlineStr">
        <is>
          <t>LAXÅ</t>
        </is>
      </c>
      <c r="F530" t="inlineStr">
        <is>
          <t>Sveaskog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53538-2023</t>
        </is>
      </c>
      <c r="B531" s="1" t="n">
        <v>45230</v>
      </c>
      <c r="C531" s="1" t="n">
        <v>45509</v>
      </c>
      <c r="D531" t="inlineStr">
        <is>
          <t>ÖREBRO LÄN</t>
        </is>
      </c>
      <c r="E531" t="inlineStr">
        <is>
          <t>LAXÅ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53547-2023</t>
        </is>
      </c>
      <c r="B532" s="1" t="n">
        <v>45230</v>
      </c>
      <c r="C532" s="1" t="n">
        <v>45509</v>
      </c>
      <c r="D532" t="inlineStr">
        <is>
          <t>ÖREBRO LÄN</t>
        </is>
      </c>
      <c r="E532" t="inlineStr">
        <is>
          <t>LAXÅ</t>
        </is>
      </c>
      <c r="F532" t="inlineStr">
        <is>
          <t>Sveaskog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54511-2023</t>
        </is>
      </c>
      <c r="B533" s="1" t="n">
        <v>45233</v>
      </c>
      <c r="C533" s="1" t="n">
        <v>45509</v>
      </c>
      <c r="D533" t="inlineStr">
        <is>
          <t>ÖREBRO LÄN</t>
        </is>
      </c>
      <c r="E533" t="inlineStr">
        <is>
          <t>LAXÅ</t>
        </is>
      </c>
      <c r="F533" t="inlineStr">
        <is>
          <t>Övriga statliga verk och myndigheter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54496-2023</t>
        </is>
      </c>
      <c r="B534" s="1" t="n">
        <v>45233</v>
      </c>
      <c r="C534" s="1" t="n">
        <v>45509</v>
      </c>
      <c r="D534" t="inlineStr">
        <is>
          <t>ÖREBRO LÄN</t>
        </is>
      </c>
      <c r="E534" t="inlineStr">
        <is>
          <t>LAXÅ</t>
        </is>
      </c>
      <c r="F534" t="inlineStr">
        <is>
          <t>Övriga statliga verk och myndigheter</t>
        </is>
      </c>
      <c r="G534" t="n">
        <v>6.6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54554-2023</t>
        </is>
      </c>
      <c r="B535" s="1" t="n">
        <v>45233</v>
      </c>
      <c r="C535" s="1" t="n">
        <v>45509</v>
      </c>
      <c r="D535" t="inlineStr">
        <is>
          <t>ÖREBRO LÄN</t>
        </is>
      </c>
      <c r="E535" t="inlineStr">
        <is>
          <t>LAXÅ</t>
        </is>
      </c>
      <c r="G535" t="n">
        <v>5.6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54640-2023</t>
        </is>
      </c>
      <c r="B536" s="1" t="n">
        <v>45234</v>
      </c>
      <c r="C536" s="1" t="n">
        <v>45509</v>
      </c>
      <c r="D536" t="inlineStr">
        <is>
          <t>ÖREBRO LÄN</t>
        </is>
      </c>
      <c r="E536" t="inlineStr">
        <is>
          <t>LAXÅ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54715-2023</t>
        </is>
      </c>
      <c r="B537" s="1" t="n">
        <v>45236</v>
      </c>
      <c r="C537" s="1" t="n">
        <v>45509</v>
      </c>
      <c r="D537" t="inlineStr">
        <is>
          <t>ÖREBRO LÄN</t>
        </is>
      </c>
      <c r="E537" t="inlineStr">
        <is>
          <t>LAXÅ</t>
        </is>
      </c>
      <c r="F537" t="inlineStr">
        <is>
          <t>Sveaskog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54713-2023</t>
        </is>
      </c>
      <c r="B538" s="1" t="n">
        <v>45236</v>
      </c>
      <c r="C538" s="1" t="n">
        <v>45509</v>
      </c>
      <c r="D538" t="inlineStr">
        <is>
          <t>ÖREBRO LÄN</t>
        </is>
      </c>
      <c r="E538" t="inlineStr">
        <is>
          <t>LAXÅ</t>
        </is>
      </c>
      <c r="F538" t="inlineStr">
        <is>
          <t>Sveaskog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54807-2023</t>
        </is>
      </c>
      <c r="B539" s="1" t="n">
        <v>45236</v>
      </c>
      <c r="C539" s="1" t="n">
        <v>45509</v>
      </c>
      <c r="D539" t="inlineStr">
        <is>
          <t>ÖREBRO LÄN</t>
        </is>
      </c>
      <c r="E539" t="inlineStr">
        <is>
          <t>LAXÅ</t>
        </is>
      </c>
      <c r="F539" t="inlineStr">
        <is>
          <t>Sveaskog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57515-2023</t>
        </is>
      </c>
      <c r="B540" s="1" t="n">
        <v>45240</v>
      </c>
      <c r="C540" s="1" t="n">
        <v>45509</v>
      </c>
      <c r="D540" t="inlineStr">
        <is>
          <t>ÖREBRO LÄN</t>
        </is>
      </c>
      <c r="E540" t="inlineStr">
        <is>
          <t>LAXÅ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57548-2023</t>
        </is>
      </c>
      <c r="B541" s="1" t="n">
        <v>45240</v>
      </c>
      <c r="C541" s="1" t="n">
        <v>45509</v>
      </c>
      <c r="D541" t="inlineStr">
        <is>
          <t>ÖREBRO LÄN</t>
        </is>
      </c>
      <c r="E541" t="inlineStr">
        <is>
          <t>LAXÅ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57521-2023</t>
        </is>
      </c>
      <c r="B542" s="1" t="n">
        <v>45240</v>
      </c>
      <c r="C542" s="1" t="n">
        <v>45509</v>
      </c>
      <c r="D542" t="inlineStr">
        <is>
          <t>ÖREBRO LÄN</t>
        </is>
      </c>
      <c r="E542" t="inlineStr">
        <is>
          <t>LAXÅ</t>
        </is>
      </c>
      <c r="G542" t="n">
        <v>4.2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57541-2023</t>
        </is>
      </c>
      <c r="B543" s="1" t="n">
        <v>45240</v>
      </c>
      <c r="C543" s="1" t="n">
        <v>45509</v>
      </c>
      <c r="D543" t="inlineStr">
        <is>
          <t>ÖREBRO LÄN</t>
        </is>
      </c>
      <c r="E543" t="inlineStr">
        <is>
          <t>LAXÅ</t>
        </is>
      </c>
      <c r="G543" t="n">
        <v>4.5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57503-2023</t>
        </is>
      </c>
      <c r="B544" s="1" t="n">
        <v>45240</v>
      </c>
      <c r="C544" s="1" t="n">
        <v>45509</v>
      </c>
      <c r="D544" t="inlineStr">
        <is>
          <t>ÖREBRO LÄN</t>
        </is>
      </c>
      <c r="E544" t="inlineStr">
        <is>
          <t>LAXÅ</t>
        </is>
      </c>
      <c r="G544" t="n">
        <v>11.5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57497-2023</t>
        </is>
      </c>
      <c r="B545" s="1" t="n">
        <v>45240</v>
      </c>
      <c r="C545" s="1" t="n">
        <v>45509</v>
      </c>
      <c r="D545" t="inlineStr">
        <is>
          <t>ÖREBRO LÄN</t>
        </is>
      </c>
      <c r="E545" t="inlineStr">
        <is>
          <t>LAXÅ</t>
        </is>
      </c>
      <c r="G545" t="n">
        <v>8.1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57534-2023</t>
        </is>
      </c>
      <c r="B546" s="1" t="n">
        <v>45240</v>
      </c>
      <c r="C546" s="1" t="n">
        <v>45509</v>
      </c>
      <c r="D546" t="inlineStr">
        <is>
          <t>ÖREBRO LÄN</t>
        </is>
      </c>
      <c r="E546" t="inlineStr">
        <is>
          <t>LAXÅ</t>
        </is>
      </c>
      <c r="G546" t="n">
        <v>3.8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58052-2023</t>
        </is>
      </c>
      <c r="B547" s="1" t="n">
        <v>45245</v>
      </c>
      <c r="C547" s="1" t="n">
        <v>45509</v>
      </c>
      <c r="D547" t="inlineStr">
        <is>
          <t>ÖREBRO LÄN</t>
        </is>
      </c>
      <c r="E547" t="inlineStr">
        <is>
          <t>LAXÅ</t>
        </is>
      </c>
      <c r="G547" t="n">
        <v>6.5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58041-2023</t>
        </is>
      </c>
      <c r="B548" s="1" t="n">
        <v>45245</v>
      </c>
      <c r="C548" s="1" t="n">
        <v>45509</v>
      </c>
      <c r="D548" t="inlineStr">
        <is>
          <t>ÖREBRO LÄN</t>
        </is>
      </c>
      <c r="E548" t="inlineStr">
        <is>
          <t>LAXÅ</t>
        </is>
      </c>
      <c r="G548" t="n">
        <v>6.5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59606-2023</t>
        </is>
      </c>
      <c r="B549" s="1" t="n">
        <v>45254</v>
      </c>
      <c r="C549" s="1" t="n">
        <v>45509</v>
      </c>
      <c r="D549" t="inlineStr">
        <is>
          <t>ÖREBRO LÄN</t>
        </is>
      </c>
      <c r="E549" t="inlineStr">
        <is>
          <t>LAXÅ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59607-2023</t>
        </is>
      </c>
      <c r="B550" s="1" t="n">
        <v>45254</v>
      </c>
      <c r="C550" s="1" t="n">
        <v>45509</v>
      </c>
      <c r="D550" t="inlineStr">
        <is>
          <t>ÖREBRO LÄN</t>
        </is>
      </c>
      <c r="E550" t="inlineStr">
        <is>
          <t>LAXÅ</t>
        </is>
      </c>
      <c r="G550" t="n">
        <v>3.8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60392-2023</t>
        </is>
      </c>
      <c r="B551" s="1" t="n">
        <v>45259</v>
      </c>
      <c r="C551" s="1" t="n">
        <v>45509</v>
      </c>
      <c r="D551" t="inlineStr">
        <is>
          <t>ÖREBRO LÄN</t>
        </is>
      </c>
      <c r="E551" t="inlineStr">
        <is>
          <t>LAXÅ</t>
        </is>
      </c>
      <c r="F551" t="inlineStr">
        <is>
          <t>Sveaskog</t>
        </is>
      </c>
      <c r="G551" t="n">
        <v>4.9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60732-2023</t>
        </is>
      </c>
      <c r="B552" s="1" t="n">
        <v>45260</v>
      </c>
      <c r="C552" s="1" t="n">
        <v>45509</v>
      </c>
      <c r="D552" t="inlineStr">
        <is>
          <t>ÖREBRO LÄN</t>
        </is>
      </c>
      <c r="E552" t="inlineStr">
        <is>
          <t>LAXÅ</t>
        </is>
      </c>
      <c r="F552" t="inlineStr">
        <is>
          <t>Sveaskog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60748-2023</t>
        </is>
      </c>
      <c r="B553" s="1" t="n">
        <v>45260</v>
      </c>
      <c r="C553" s="1" t="n">
        <v>45509</v>
      </c>
      <c r="D553" t="inlineStr">
        <is>
          <t>ÖREBRO LÄN</t>
        </is>
      </c>
      <c r="E553" t="inlineStr">
        <is>
          <t>LAXÅ</t>
        </is>
      </c>
      <c r="F553" t="inlineStr">
        <is>
          <t>Sveaskog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61035-2023</t>
        </is>
      </c>
      <c r="B554" s="1" t="n">
        <v>45261</v>
      </c>
      <c r="C554" s="1" t="n">
        <v>45509</v>
      </c>
      <c r="D554" t="inlineStr">
        <is>
          <t>ÖREBRO LÄN</t>
        </is>
      </c>
      <c r="E554" t="inlineStr">
        <is>
          <t>LAXÅ</t>
        </is>
      </c>
      <c r="F554" t="inlineStr">
        <is>
          <t>Sveaskog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61037-2023</t>
        </is>
      </c>
      <c r="B555" s="1" t="n">
        <v>45261</v>
      </c>
      <c r="C555" s="1" t="n">
        <v>45509</v>
      </c>
      <c r="D555" t="inlineStr">
        <is>
          <t>ÖREBRO LÄN</t>
        </is>
      </c>
      <c r="E555" t="inlineStr">
        <is>
          <t>LAXÅ</t>
        </is>
      </c>
      <c r="F555" t="inlineStr">
        <is>
          <t>Sveaskog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61042-2023</t>
        </is>
      </c>
      <c r="B556" s="1" t="n">
        <v>45261</v>
      </c>
      <c r="C556" s="1" t="n">
        <v>45509</v>
      </c>
      <c r="D556" t="inlineStr">
        <is>
          <t>ÖREBRO LÄN</t>
        </is>
      </c>
      <c r="E556" t="inlineStr">
        <is>
          <t>LAXÅ</t>
        </is>
      </c>
      <c r="F556" t="inlineStr">
        <is>
          <t>Sveaskog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61044-2023</t>
        </is>
      </c>
      <c r="B557" s="1" t="n">
        <v>45261</v>
      </c>
      <c r="C557" s="1" t="n">
        <v>45509</v>
      </c>
      <c r="D557" t="inlineStr">
        <is>
          <t>ÖREBRO LÄN</t>
        </is>
      </c>
      <c r="E557" t="inlineStr">
        <is>
          <t>LAXÅ</t>
        </is>
      </c>
      <c r="F557" t="inlineStr">
        <is>
          <t>Sveaskog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61038-2023</t>
        </is>
      </c>
      <c r="B558" s="1" t="n">
        <v>45261</v>
      </c>
      <c r="C558" s="1" t="n">
        <v>45509</v>
      </c>
      <c r="D558" t="inlineStr">
        <is>
          <t>ÖREBRO LÄN</t>
        </is>
      </c>
      <c r="E558" t="inlineStr">
        <is>
          <t>LAXÅ</t>
        </is>
      </c>
      <c r="F558" t="inlineStr">
        <is>
          <t>Sveaskog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61043-2023</t>
        </is>
      </c>
      <c r="B559" s="1" t="n">
        <v>45261</v>
      </c>
      <c r="C559" s="1" t="n">
        <v>45509</v>
      </c>
      <c r="D559" t="inlineStr">
        <is>
          <t>ÖREBRO LÄN</t>
        </is>
      </c>
      <c r="E559" t="inlineStr">
        <is>
          <t>LAXÅ</t>
        </is>
      </c>
      <c r="F559" t="inlineStr">
        <is>
          <t>Sveaskog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61079-2023</t>
        </is>
      </c>
      <c r="B560" s="1" t="n">
        <v>45261</v>
      </c>
      <c r="C560" s="1" t="n">
        <v>45509</v>
      </c>
      <c r="D560" t="inlineStr">
        <is>
          <t>ÖREBRO LÄN</t>
        </is>
      </c>
      <c r="E560" t="inlineStr">
        <is>
          <t>LAXÅ</t>
        </is>
      </c>
      <c r="F560" t="inlineStr">
        <is>
          <t>Sveaskog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61090-2023</t>
        </is>
      </c>
      <c r="B561" s="1" t="n">
        <v>45261</v>
      </c>
      <c r="C561" s="1" t="n">
        <v>45509</v>
      </c>
      <c r="D561" t="inlineStr">
        <is>
          <t>ÖREBRO LÄN</t>
        </is>
      </c>
      <c r="E561" t="inlineStr">
        <is>
          <t>LAXÅ</t>
        </is>
      </c>
      <c r="F561" t="inlineStr">
        <is>
          <t>Sveaskog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61036-2023</t>
        </is>
      </c>
      <c r="B562" s="1" t="n">
        <v>45261</v>
      </c>
      <c r="C562" s="1" t="n">
        <v>45509</v>
      </c>
      <c r="D562" t="inlineStr">
        <is>
          <t>ÖREBRO LÄN</t>
        </is>
      </c>
      <c r="E562" t="inlineStr">
        <is>
          <t>LAXÅ</t>
        </is>
      </c>
      <c r="F562" t="inlineStr">
        <is>
          <t>Sveaskog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61046-2023</t>
        </is>
      </c>
      <c r="B563" s="1" t="n">
        <v>45261</v>
      </c>
      <c r="C563" s="1" t="n">
        <v>45509</v>
      </c>
      <c r="D563" t="inlineStr">
        <is>
          <t>ÖREBRO LÄN</t>
        </is>
      </c>
      <c r="E563" t="inlineStr">
        <is>
          <t>LAXÅ</t>
        </is>
      </c>
      <c r="F563" t="inlineStr">
        <is>
          <t>Sveaskog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61051-2023</t>
        </is>
      </c>
      <c r="B564" s="1" t="n">
        <v>45261</v>
      </c>
      <c r="C564" s="1" t="n">
        <v>45509</v>
      </c>
      <c r="D564" t="inlineStr">
        <is>
          <t>ÖREBRO LÄN</t>
        </is>
      </c>
      <c r="E564" t="inlineStr">
        <is>
          <t>LAXÅ</t>
        </is>
      </c>
      <c r="F564" t="inlineStr">
        <is>
          <t>Sveaskog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61086-2023</t>
        </is>
      </c>
      <c r="B565" s="1" t="n">
        <v>45261</v>
      </c>
      <c r="C565" s="1" t="n">
        <v>45509</v>
      </c>
      <c r="D565" t="inlineStr">
        <is>
          <t>ÖREBRO LÄN</t>
        </is>
      </c>
      <c r="E565" t="inlineStr">
        <is>
          <t>LAXÅ</t>
        </is>
      </c>
      <c r="F565" t="inlineStr">
        <is>
          <t>Sveaskog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61091-2023</t>
        </is>
      </c>
      <c r="B566" s="1" t="n">
        <v>45261</v>
      </c>
      <c r="C566" s="1" t="n">
        <v>45509</v>
      </c>
      <c r="D566" t="inlineStr">
        <is>
          <t>ÖREBRO LÄN</t>
        </is>
      </c>
      <c r="E566" t="inlineStr">
        <is>
          <t>LAXÅ</t>
        </is>
      </c>
      <c r="F566" t="inlineStr">
        <is>
          <t>Sveaskog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61096-2023</t>
        </is>
      </c>
      <c r="B567" s="1" t="n">
        <v>45261</v>
      </c>
      <c r="C567" s="1" t="n">
        <v>45509</v>
      </c>
      <c r="D567" t="inlineStr">
        <is>
          <t>ÖREBRO LÄN</t>
        </is>
      </c>
      <c r="E567" t="inlineStr">
        <is>
          <t>LAXÅ</t>
        </is>
      </c>
      <c r="F567" t="inlineStr">
        <is>
          <t>Sveaskog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62594-2023</t>
        </is>
      </c>
      <c r="B568" s="1" t="n">
        <v>45271</v>
      </c>
      <c r="C568" s="1" t="n">
        <v>45509</v>
      </c>
      <c r="D568" t="inlineStr">
        <is>
          <t>ÖREBRO LÄN</t>
        </is>
      </c>
      <c r="E568" t="inlineStr">
        <is>
          <t>LAXÅ</t>
        </is>
      </c>
      <c r="G568" t="n">
        <v>3.3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1658-2024</t>
        </is>
      </c>
      <c r="B569" s="1" t="n">
        <v>45306</v>
      </c>
      <c r="C569" s="1" t="n">
        <v>45509</v>
      </c>
      <c r="D569" t="inlineStr">
        <is>
          <t>ÖREBRO LÄN</t>
        </is>
      </c>
      <c r="E569" t="inlineStr">
        <is>
          <t>LAXÅ</t>
        </is>
      </c>
      <c r="G569" t="n">
        <v>5.8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1581-2024</t>
        </is>
      </c>
      <c r="B570" s="1" t="n">
        <v>45306</v>
      </c>
      <c r="C570" s="1" t="n">
        <v>45509</v>
      </c>
      <c r="D570" t="inlineStr">
        <is>
          <t>ÖREBRO LÄN</t>
        </is>
      </c>
      <c r="E570" t="inlineStr">
        <is>
          <t>LAXÅ</t>
        </is>
      </c>
      <c r="G570" t="n">
        <v>8.4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1661-2024</t>
        </is>
      </c>
      <c r="B571" s="1" t="n">
        <v>45306</v>
      </c>
      <c r="C571" s="1" t="n">
        <v>45509</v>
      </c>
      <c r="D571" t="inlineStr">
        <is>
          <t>ÖREBRO LÄN</t>
        </is>
      </c>
      <c r="E571" t="inlineStr">
        <is>
          <t>LAXÅ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1659-2024</t>
        </is>
      </c>
      <c r="B572" s="1" t="n">
        <v>45306</v>
      </c>
      <c r="C572" s="1" t="n">
        <v>45509</v>
      </c>
      <c r="D572" t="inlineStr">
        <is>
          <t>ÖREBRO LÄN</t>
        </is>
      </c>
      <c r="E572" t="inlineStr">
        <is>
          <t>LAXÅ</t>
        </is>
      </c>
      <c r="G572" t="n">
        <v>5.1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1580-2024</t>
        </is>
      </c>
      <c r="B573" s="1" t="n">
        <v>45306</v>
      </c>
      <c r="C573" s="1" t="n">
        <v>45509</v>
      </c>
      <c r="D573" t="inlineStr">
        <is>
          <t>ÖREBRO LÄN</t>
        </is>
      </c>
      <c r="E573" t="inlineStr">
        <is>
          <t>LAXÅ</t>
        </is>
      </c>
      <c r="G573" t="n">
        <v>8.1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1660-2024</t>
        </is>
      </c>
      <c r="B574" s="1" t="n">
        <v>45306</v>
      </c>
      <c r="C574" s="1" t="n">
        <v>45509</v>
      </c>
      <c r="D574" t="inlineStr">
        <is>
          <t>ÖREBRO LÄN</t>
        </is>
      </c>
      <c r="E574" t="inlineStr">
        <is>
          <t>LAXÅ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1662-2024</t>
        </is>
      </c>
      <c r="B575" s="1" t="n">
        <v>45306</v>
      </c>
      <c r="C575" s="1" t="n">
        <v>45509</v>
      </c>
      <c r="D575" t="inlineStr">
        <is>
          <t>ÖREBRO LÄN</t>
        </is>
      </c>
      <c r="E575" t="inlineStr">
        <is>
          <t>LAXÅ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4163-2024</t>
        </is>
      </c>
      <c r="B576" s="1" t="n">
        <v>45323</v>
      </c>
      <c r="C576" s="1" t="n">
        <v>45509</v>
      </c>
      <c r="D576" t="inlineStr">
        <is>
          <t>ÖREBRO LÄN</t>
        </is>
      </c>
      <c r="E576" t="inlineStr">
        <is>
          <t>LAXÅ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4762-2024</t>
        </is>
      </c>
      <c r="B577" s="1" t="n">
        <v>45328</v>
      </c>
      <c r="C577" s="1" t="n">
        <v>45509</v>
      </c>
      <c r="D577" t="inlineStr">
        <is>
          <t>ÖREBRO LÄN</t>
        </is>
      </c>
      <c r="E577" t="inlineStr">
        <is>
          <t>LAXÅ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6181-2024</t>
        </is>
      </c>
      <c r="B578" s="1" t="n">
        <v>45337</v>
      </c>
      <c r="C578" s="1" t="n">
        <v>45509</v>
      </c>
      <c r="D578" t="inlineStr">
        <is>
          <t>ÖREBRO LÄN</t>
        </is>
      </c>
      <c r="E578" t="inlineStr">
        <is>
          <t>LAXÅ</t>
        </is>
      </c>
      <c r="F578" t="inlineStr">
        <is>
          <t>Sveaskog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6193-2024</t>
        </is>
      </c>
      <c r="B579" s="1" t="n">
        <v>45337</v>
      </c>
      <c r="C579" s="1" t="n">
        <v>45509</v>
      </c>
      <c r="D579" t="inlineStr">
        <is>
          <t>ÖREBRO LÄN</t>
        </is>
      </c>
      <c r="E579" t="inlineStr">
        <is>
          <t>LAXÅ</t>
        </is>
      </c>
      <c r="F579" t="inlineStr">
        <is>
          <t>Sveaskog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6178-2024</t>
        </is>
      </c>
      <c r="B580" s="1" t="n">
        <v>45337</v>
      </c>
      <c r="C580" s="1" t="n">
        <v>45509</v>
      </c>
      <c r="D580" t="inlineStr">
        <is>
          <t>ÖREBRO LÄN</t>
        </is>
      </c>
      <c r="E580" t="inlineStr">
        <is>
          <t>LAXÅ</t>
        </is>
      </c>
      <c r="F580" t="inlineStr">
        <is>
          <t>Sveaskog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6299-2024</t>
        </is>
      </c>
      <c r="B581" s="1" t="n">
        <v>45338</v>
      </c>
      <c r="C581" s="1" t="n">
        <v>45509</v>
      </c>
      <c r="D581" t="inlineStr">
        <is>
          <t>ÖREBRO LÄN</t>
        </is>
      </c>
      <c r="E581" t="inlineStr">
        <is>
          <t>LAXÅ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6305-2024</t>
        </is>
      </c>
      <c r="B582" s="1" t="n">
        <v>45338</v>
      </c>
      <c r="C582" s="1" t="n">
        <v>45509</v>
      </c>
      <c r="D582" t="inlineStr">
        <is>
          <t>ÖREBRO LÄN</t>
        </is>
      </c>
      <c r="E582" t="inlineStr">
        <is>
          <t>LAXÅ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6294-2024</t>
        </is>
      </c>
      <c r="B583" s="1" t="n">
        <v>45338</v>
      </c>
      <c r="C583" s="1" t="n">
        <v>45509</v>
      </c>
      <c r="D583" t="inlineStr">
        <is>
          <t>ÖREBRO LÄN</t>
        </is>
      </c>
      <c r="E583" t="inlineStr">
        <is>
          <t>LAXÅ</t>
        </is>
      </c>
      <c r="G583" t="n">
        <v>0.3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6300-2024</t>
        </is>
      </c>
      <c r="B584" s="1" t="n">
        <v>45338</v>
      </c>
      <c r="C584" s="1" t="n">
        <v>45509</v>
      </c>
      <c r="D584" t="inlineStr">
        <is>
          <t>ÖREBRO LÄN</t>
        </is>
      </c>
      <c r="E584" t="inlineStr">
        <is>
          <t>LAXÅ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6308-2024</t>
        </is>
      </c>
      <c r="B585" s="1" t="n">
        <v>45338</v>
      </c>
      <c r="C585" s="1" t="n">
        <v>45509</v>
      </c>
      <c r="D585" t="inlineStr">
        <is>
          <t>ÖREBRO LÄN</t>
        </is>
      </c>
      <c r="E585" t="inlineStr">
        <is>
          <t>LAXÅ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6452-2024</t>
        </is>
      </c>
      <c r="B586" s="1" t="n">
        <v>45338</v>
      </c>
      <c r="C586" s="1" t="n">
        <v>45509</v>
      </c>
      <c r="D586" t="inlineStr">
        <is>
          <t>ÖREBRO LÄN</t>
        </is>
      </c>
      <c r="E586" t="inlineStr">
        <is>
          <t>LAXÅ</t>
        </is>
      </c>
      <c r="G586" t="n">
        <v>0.3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6856-2024</t>
        </is>
      </c>
      <c r="B587" s="1" t="n">
        <v>45338</v>
      </c>
      <c r="C587" s="1" t="n">
        <v>45509</v>
      </c>
      <c r="D587" t="inlineStr">
        <is>
          <t>ÖREBRO LÄN</t>
        </is>
      </c>
      <c r="E587" t="inlineStr">
        <is>
          <t>LAXÅ</t>
        </is>
      </c>
      <c r="G587" t="n">
        <v>11.1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7132-2024</t>
        </is>
      </c>
      <c r="B588" s="1" t="n">
        <v>45344</v>
      </c>
      <c r="C588" s="1" t="n">
        <v>45509</v>
      </c>
      <c r="D588" t="inlineStr">
        <is>
          <t>ÖREBRO LÄN</t>
        </is>
      </c>
      <c r="E588" t="inlineStr">
        <is>
          <t>LAXÅ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7137-2024</t>
        </is>
      </c>
      <c r="B589" s="1" t="n">
        <v>45344</v>
      </c>
      <c r="C589" s="1" t="n">
        <v>45509</v>
      </c>
      <c r="D589" t="inlineStr">
        <is>
          <t>ÖREBRO LÄN</t>
        </is>
      </c>
      <c r="E589" t="inlineStr">
        <is>
          <t>LAXÅ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7130-2024</t>
        </is>
      </c>
      <c r="B590" s="1" t="n">
        <v>45344</v>
      </c>
      <c r="C590" s="1" t="n">
        <v>45509</v>
      </c>
      <c r="D590" t="inlineStr">
        <is>
          <t>ÖREBRO LÄN</t>
        </is>
      </c>
      <c r="E590" t="inlineStr">
        <is>
          <t>LAXÅ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7932-2024</t>
        </is>
      </c>
      <c r="B591" s="1" t="n">
        <v>45349</v>
      </c>
      <c r="C591" s="1" t="n">
        <v>45509</v>
      </c>
      <c r="D591" t="inlineStr">
        <is>
          <t>ÖREBRO LÄN</t>
        </is>
      </c>
      <c r="E591" t="inlineStr">
        <is>
          <t>LAXÅ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9312-2024</t>
        </is>
      </c>
      <c r="B592" s="1" t="n">
        <v>45358</v>
      </c>
      <c r="C592" s="1" t="n">
        <v>45509</v>
      </c>
      <c r="D592" t="inlineStr">
        <is>
          <t>ÖREBRO LÄN</t>
        </is>
      </c>
      <c r="E592" t="inlineStr">
        <is>
          <t>LAXÅ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10426-2024</t>
        </is>
      </c>
      <c r="B593" s="1" t="n">
        <v>45365</v>
      </c>
      <c r="C593" s="1" t="n">
        <v>45509</v>
      </c>
      <c r="D593" t="inlineStr">
        <is>
          <t>ÖREBRO LÄN</t>
        </is>
      </c>
      <c r="E593" t="inlineStr">
        <is>
          <t>LAXÅ</t>
        </is>
      </c>
      <c r="G593" t="n">
        <v>5.9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10496-2024</t>
        </is>
      </c>
      <c r="B594" s="1" t="n">
        <v>45366</v>
      </c>
      <c r="C594" s="1" t="n">
        <v>45509</v>
      </c>
      <c r="D594" t="inlineStr">
        <is>
          <t>ÖREBRO LÄN</t>
        </is>
      </c>
      <c r="E594" t="inlineStr">
        <is>
          <t>LAXÅ</t>
        </is>
      </c>
      <c r="F594" t="inlineStr">
        <is>
          <t>Sveaskog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12065-2024</t>
        </is>
      </c>
      <c r="B595" s="1" t="n">
        <v>45377</v>
      </c>
      <c r="C595" s="1" t="n">
        <v>45509</v>
      </c>
      <c r="D595" t="inlineStr">
        <is>
          <t>ÖREBRO LÄN</t>
        </is>
      </c>
      <c r="E595" t="inlineStr">
        <is>
          <t>LAXÅ</t>
        </is>
      </c>
      <c r="F595" t="inlineStr">
        <is>
          <t>Sveaskog</t>
        </is>
      </c>
      <c r="G595" t="n">
        <v>4.3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12060-2024</t>
        </is>
      </c>
      <c r="B596" s="1" t="n">
        <v>45377</v>
      </c>
      <c r="C596" s="1" t="n">
        <v>45509</v>
      </c>
      <c r="D596" t="inlineStr">
        <is>
          <t>ÖREBRO LÄN</t>
        </is>
      </c>
      <c r="E596" t="inlineStr">
        <is>
          <t>LAXÅ</t>
        </is>
      </c>
      <c r="F596" t="inlineStr">
        <is>
          <t>Sveaskog</t>
        </is>
      </c>
      <c r="G596" t="n">
        <v>3.3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12063-2024</t>
        </is>
      </c>
      <c r="B597" s="1" t="n">
        <v>45377</v>
      </c>
      <c r="C597" s="1" t="n">
        <v>45509</v>
      </c>
      <c r="D597" t="inlineStr">
        <is>
          <t>ÖREBRO LÄN</t>
        </is>
      </c>
      <c r="E597" t="inlineStr">
        <is>
          <t>LAXÅ</t>
        </is>
      </c>
      <c r="F597" t="inlineStr">
        <is>
          <t>Sveaskog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12651-2024</t>
        </is>
      </c>
      <c r="B598" s="1" t="n">
        <v>45384</v>
      </c>
      <c r="C598" s="1" t="n">
        <v>45509</v>
      </c>
      <c r="D598" t="inlineStr">
        <is>
          <t>ÖREBRO LÄN</t>
        </is>
      </c>
      <c r="E598" t="inlineStr">
        <is>
          <t>LAXÅ</t>
        </is>
      </c>
      <c r="F598" t="inlineStr">
        <is>
          <t>Sveaskog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13004-2024</t>
        </is>
      </c>
      <c r="B599" s="1" t="n">
        <v>45385</v>
      </c>
      <c r="C599" s="1" t="n">
        <v>45509</v>
      </c>
      <c r="D599" t="inlineStr">
        <is>
          <t>ÖREBRO LÄN</t>
        </is>
      </c>
      <c r="E599" t="inlineStr">
        <is>
          <t>LAXÅ</t>
        </is>
      </c>
      <c r="F599" t="inlineStr">
        <is>
          <t>Sveaskog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13023-2024</t>
        </is>
      </c>
      <c r="B600" s="1" t="n">
        <v>45385</v>
      </c>
      <c r="C600" s="1" t="n">
        <v>45509</v>
      </c>
      <c r="D600" t="inlineStr">
        <is>
          <t>ÖREBRO LÄN</t>
        </is>
      </c>
      <c r="E600" t="inlineStr">
        <is>
          <t>LAXÅ</t>
        </is>
      </c>
      <c r="F600" t="inlineStr">
        <is>
          <t>Sveaskog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13021-2024</t>
        </is>
      </c>
      <c r="B601" s="1" t="n">
        <v>45385</v>
      </c>
      <c r="C601" s="1" t="n">
        <v>45509</v>
      </c>
      <c r="D601" t="inlineStr">
        <is>
          <t>ÖREBRO LÄN</t>
        </is>
      </c>
      <c r="E601" t="inlineStr">
        <is>
          <t>LAXÅ</t>
        </is>
      </c>
      <c r="F601" t="inlineStr">
        <is>
          <t>Sveaskog</t>
        </is>
      </c>
      <c r="G601" t="n">
        <v>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13001-2024</t>
        </is>
      </c>
      <c r="B602" s="1" t="n">
        <v>45385</v>
      </c>
      <c r="C602" s="1" t="n">
        <v>45509</v>
      </c>
      <c r="D602" t="inlineStr">
        <is>
          <t>ÖREBRO LÄN</t>
        </is>
      </c>
      <c r="E602" t="inlineStr">
        <is>
          <t>LAXÅ</t>
        </is>
      </c>
      <c r="F602" t="inlineStr">
        <is>
          <t>Sveaskog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13304-2024</t>
        </is>
      </c>
      <c r="B603" s="1" t="n">
        <v>45386</v>
      </c>
      <c r="C603" s="1" t="n">
        <v>45509</v>
      </c>
      <c r="D603" t="inlineStr">
        <is>
          <t>ÖREBRO LÄN</t>
        </is>
      </c>
      <c r="E603" t="inlineStr">
        <is>
          <t>LAXÅ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13408-2024</t>
        </is>
      </c>
      <c r="B604" s="1" t="n">
        <v>45387</v>
      </c>
      <c r="C604" s="1" t="n">
        <v>45509</v>
      </c>
      <c r="D604" t="inlineStr">
        <is>
          <t>ÖREBRO LÄN</t>
        </is>
      </c>
      <c r="E604" t="inlineStr">
        <is>
          <t>LAXÅ</t>
        </is>
      </c>
      <c r="F604" t="inlineStr">
        <is>
          <t>Sveaskog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13404-2024</t>
        </is>
      </c>
      <c r="B605" s="1" t="n">
        <v>45387</v>
      </c>
      <c r="C605" s="1" t="n">
        <v>45509</v>
      </c>
      <c r="D605" t="inlineStr">
        <is>
          <t>ÖREBRO LÄN</t>
        </is>
      </c>
      <c r="E605" t="inlineStr">
        <is>
          <t>LAXÅ</t>
        </is>
      </c>
      <c r="F605" t="inlineStr">
        <is>
          <t>Sveaskog</t>
        </is>
      </c>
      <c r="G605" t="n">
        <v>8.5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13372-2024</t>
        </is>
      </c>
      <c r="B606" s="1" t="n">
        <v>45387</v>
      </c>
      <c r="C606" s="1" t="n">
        <v>45509</v>
      </c>
      <c r="D606" t="inlineStr">
        <is>
          <t>ÖREBRO LÄN</t>
        </is>
      </c>
      <c r="E606" t="inlineStr">
        <is>
          <t>LAXÅ</t>
        </is>
      </c>
      <c r="F606" t="inlineStr">
        <is>
          <t>Sveaskog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13642-2024</t>
        </is>
      </c>
      <c r="B607" s="1" t="n">
        <v>45390</v>
      </c>
      <c r="C607" s="1" t="n">
        <v>45509</v>
      </c>
      <c r="D607" t="inlineStr">
        <is>
          <t>ÖREBRO LÄN</t>
        </is>
      </c>
      <c r="E607" t="inlineStr">
        <is>
          <t>LAXÅ</t>
        </is>
      </c>
      <c r="F607" t="inlineStr">
        <is>
          <t>Sveaskog</t>
        </is>
      </c>
      <c r="G607" t="n">
        <v>4.9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13651-2024</t>
        </is>
      </c>
      <c r="B608" s="1" t="n">
        <v>45390</v>
      </c>
      <c r="C608" s="1" t="n">
        <v>45509</v>
      </c>
      <c r="D608" t="inlineStr">
        <is>
          <t>ÖREBRO LÄN</t>
        </is>
      </c>
      <c r="E608" t="inlineStr">
        <is>
          <t>LAXÅ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13641-2024</t>
        </is>
      </c>
      <c r="B609" s="1" t="n">
        <v>45390</v>
      </c>
      <c r="C609" s="1" t="n">
        <v>45509</v>
      </c>
      <c r="D609" t="inlineStr">
        <is>
          <t>ÖREBRO LÄN</t>
        </is>
      </c>
      <c r="E609" t="inlineStr">
        <is>
          <t>LAXÅ</t>
        </is>
      </c>
      <c r="F609" t="inlineStr">
        <is>
          <t>Sveaskog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13888-2024</t>
        </is>
      </c>
      <c r="B610" s="1" t="n">
        <v>45391</v>
      </c>
      <c r="C610" s="1" t="n">
        <v>45509</v>
      </c>
      <c r="D610" t="inlineStr">
        <is>
          <t>ÖREBRO LÄN</t>
        </is>
      </c>
      <c r="E610" t="inlineStr">
        <is>
          <t>LAXÅ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14007-2024</t>
        </is>
      </c>
      <c r="B611" s="1" t="n">
        <v>45392</v>
      </c>
      <c r="C611" s="1" t="n">
        <v>45509</v>
      </c>
      <c r="D611" t="inlineStr">
        <is>
          <t>ÖREBRO LÄN</t>
        </is>
      </c>
      <c r="E611" t="inlineStr">
        <is>
          <t>LAXÅ</t>
        </is>
      </c>
      <c r="F611" t="inlineStr">
        <is>
          <t>Sveaskog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14008-2024</t>
        </is>
      </c>
      <c r="B612" s="1" t="n">
        <v>45392</v>
      </c>
      <c r="C612" s="1" t="n">
        <v>45509</v>
      </c>
      <c r="D612" t="inlineStr">
        <is>
          <t>ÖREBRO LÄN</t>
        </is>
      </c>
      <c r="E612" t="inlineStr">
        <is>
          <t>LAXÅ</t>
        </is>
      </c>
      <c r="F612" t="inlineStr">
        <is>
          <t>Sveaskog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15210-2024</t>
        </is>
      </c>
      <c r="B613" s="1" t="n">
        <v>45400</v>
      </c>
      <c r="C613" s="1" t="n">
        <v>45509</v>
      </c>
      <c r="D613" t="inlineStr">
        <is>
          <t>ÖREBRO LÄN</t>
        </is>
      </c>
      <c r="E613" t="inlineStr">
        <is>
          <t>LAXÅ</t>
        </is>
      </c>
      <c r="F613" t="inlineStr">
        <is>
          <t>Sveaskog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15208-2024</t>
        </is>
      </c>
      <c r="B614" s="1" t="n">
        <v>45400</v>
      </c>
      <c r="C614" s="1" t="n">
        <v>45509</v>
      </c>
      <c r="D614" t="inlineStr">
        <is>
          <t>ÖREBRO LÄN</t>
        </is>
      </c>
      <c r="E614" t="inlineStr">
        <is>
          <t>LAXÅ</t>
        </is>
      </c>
      <c r="F614" t="inlineStr">
        <is>
          <t>Sveaskog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15213-2024</t>
        </is>
      </c>
      <c r="B615" s="1" t="n">
        <v>45400</v>
      </c>
      <c r="C615" s="1" t="n">
        <v>45509</v>
      </c>
      <c r="D615" t="inlineStr">
        <is>
          <t>ÖREBRO LÄN</t>
        </is>
      </c>
      <c r="E615" t="inlineStr">
        <is>
          <t>LAXÅ</t>
        </is>
      </c>
      <c r="F615" t="inlineStr">
        <is>
          <t>Sveaskog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15215-2024</t>
        </is>
      </c>
      <c r="B616" s="1" t="n">
        <v>45400</v>
      </c>
      <c r="C616" s="1" t="n">
        <v>45509</v>
      </c>
      <c r="D616" t="inlineStr">
        <is>
          <t>ÖREBRO LÄN</t>
        </is>
      </c>
      <c r="E616" t="inlineStr">
        <is>
          <t>LAXÅ</t>
        </is>
      </c>
      <c r="F616" t="inlineStr">
        <is>
          <t>Sveaskog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15576-2024</t>
        </is>
      </c>
      <c r="B617" s="1" t="n">
        <v>45401</v>
      </c>
      <c r="C617" s="1" t="n">
        <v>45509</v>
      </c>
      <c r="D617" t="inlineStr">
        <is>
          <t>ÖREBRO LÄN</t>
        </is>
      </c>
      <c r="E617" t="inlineStr">
        <is>
          <t>LAXÅ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15792-2024</t>
        </is>
      </c>
      <c r="B618" s="1" t="n">
        <v>45404</v>
      </c>
      <c r="C618" s="1" t="n">
        <v>45509</v>
      </c>
      <c r="D618" t="inlineStr">
        <is>
          <t>ÖREBRO LÄN</t>
        </is>
      </c>
      <c r="E618" t="inlineStr">
        <is>
          <t>LAXÅ</t>
        </is>
      </c>
      <c r="F618" t="inlineStr">
        <is>
          <t>Sveaskog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15791-2024</t>
        </is>
      </c>
      <c r="B619" s="1" t="n">
        <v>45404</v>
      </c>
      <c r="C619" s="1" t="n">
        <v>45509</v>
      </c>
      <c r="D619" t="inlineStr">
        <is>
          <t>ÖREBRO LÄN</t>
        </is>
      </c>
      <c r="E619" t="inlineStr">
        <is>
          <t>LAXÅ</t>
        </is>
      </c>
      <c r="F619" t="inlineStr">
        <is>
          <t>Sveaskog</t>
        </is>
      </c>
      <c r="G619" t="n">
        <v>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15795-2024</t>
        </is>
      </c>
      <c r="B620" s="1" t="n">
        <v>45404</v>
      </c>
      <c r="C620" s="1" t="n">
        <v>45509</v>
      </c>
      <c r="D620" t="inlineStr">
        <is>
          <t>ÖREBRO LÄN</t>
        </is>
      </c>
      <c r="E620" t="inlineStr">
        <is>
          <t>LAXÅ</t>
        </is>
      </c>
      <c r="F620" t="inlineStr">
        <is>
          <t>Sveaskog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16682-2024</t>
        </is>
      </c>
      <c r="B621" s="1" t="n">
        <v>45408</v>
      </c>
      <c r="C621" s="1" t="n">
        <v>45509</v>
      </c>
      <c r="D621" t="inlineStr">
        <is>
          <t>ÖREBRO LÄN</t>
        </is>
      </c>
      <c r="E621" t="inlineStr">
        <is>
          <t>LAXÅ</t>
        </is>
      </c>
      <c r="F621" t="inlineStr">
        <is>
          <t>Allmännings- och besparingsskogar</t>
        </is>
      </c>
      <c r="G621" t="n">
        <v>4.2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17152-2024</t>
        </is>
      </c>
      <c r="B622" s="1" t="n">
        <v>45412</v>
      </c>
      <c r="C622" s="1" t="n">
        <v>45509</v>
      </c>
      <c r="D622" t="inlineStr">
        <is>
          <t>ÖREBRO LÄN</t>
        </is>
      </c>
      <c r="E622" t="inlineStr">
        <is>
          <t>LAXÅ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18977-2024</t>
        </is>
      </c>
      <c r="B623" s="1" t="n">
        <v>45427</v>
      </c>
      <c r="C623" s="1" t="n">
        <v>45509</v>
      </c>
      <c r="D623" t="inlineStr">
        <is>
          <t>ÖREBRO LÄN</t>
        </is>
      </c>
      <c r="E623" t="inlineStr">
        <is>
          <t>LAXÅ</t>
        </is>
      </c>
      <c r="F623" t="inlineStr">
        <is>
          <t>Sveaskog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18970-2024</t>
        </is>
      </c>
      <c r="B624" s="1" t="n">
        <v>45427</v>
      </c>
      <c r="C624" s="1" t="n">
        <v>45509</v>
      </c>
      <c r="D624" t="inlineStr">
        <is>
          <t>ÖREBRO LÄN</t>
        </is>
      </c>
      <c r="E624" t="inlineStr">
        <is>
          <t>LAXÅ</t>
        </is>
      </c>
      <c r="F624" t="inlineStr">
        <is>
          <t>Sveaskog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19317-2024</t>
        </is>
      </c>
      <c r="B625" s="1" t="n">
        <v>45428</v>
      </c>
      <c r="C625" s="1" t="n">
        <v>45509</v>
      </c>
      <c r="D625" t="inlineStr">
        <is>
          <t>ÖREBRO LÄN</t>
        </is>
      </c>
      <c r="E625" t="inlineStr">
        <is>
          <t>LAXÅ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20175-2024</t>
        </is>
      </c>
      <c r="B626" s="1" t="n">
        <v>45434</v>
      </c>
      <c r="C626" s="1" t="n">
        <v>45509</v>
      </c>
      <c r="D626" t="inlineStr">
        <is>
          <t>ÖREBRO LÄN</t>
        </is>
      </c>
      <c r="E626" t="inlineStr">
        <is>
          <t>LAXÅ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20421-2024</t>
        </is>
      </c>
      <c r="B627" s="1" t="n">
        <v>45435</v>
      </c>
      <c r="C627" s="1" t="n">
        <v>45509</v>
      </c>
      <c r="D627" t="inlineStr">
        <is>
          <t>ÖREBRO LÄN</t>
        </is>
      </c>
      <c r="E627" t="inlineStr">
        <is>
          <t>LAXÅ</t>
        </is>
      </c>
      <c r="F627" t="inlineStr">
        <is>
          <t>Sveaskog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20420-2024</t>
        </is>
      </c>
      <c r="B628" s="1" t="n">
        <v>45435</v>
      </c>
      <c r="C628" s="1" t="n">
        <v>45509</v>
      </c>
      <c r="D628" t="inlineStr">
        <is>
          <t>ÖREBRO LÄN</t>
        </is>
      </c>
      <c r="E628" t="inlineStr">
        <is>
          <t>LAXÅ</t>
        </is>
      </c>
      <c r="F628" t="inlineStr">
        <is>
          <t>Sveaskog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21005-2024</t>
        </is>
      </c>
      <c r="B629" s="1" t="n">
        <v>45439</v>
      </c>
      <c r="C629" s="1" t="n">
        <v>45509</v>
      </c>
      <c r="D629" t="inlineStr">
        <is>
          <t>ÖREBRO LÄN</t>
        </is>
      </c>
      <c r="E629" t="inlineStr">
        <is>
          <t>LAXÅ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21003-2024</t>
        </is>
      </c>
      <c r="B630" s="1" t="n">
        <v>45439</v>
      </c>
      <c r="C630" s="1" t="n">
        <v>45509</v>
      </c>
      <c r="D630" t="inlineStr">
        <is>
          <t>ÖREBRO LÄN</t>
        </is>
      </c>
      <c r="E630" t="inlineStr">
        <is>
          <t>LAXÅ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21522-2024</t>
        </is>
      </c>
      <c r="B631" s="1" t="n">
        <v>45441</v>
      </c>
      <c r="C631" s="1" t="n">
        <v>45509</v>
      </c>
      <c r="D631" t="inlineStr">
        <is>
          <t>ÖREBRO LÄN</t>
        </is>
      </c>
      <c r="E631" t="inlineStr">
        <is>
          <t>LAXÅ</t>
        </is>
      </c>
      <c r="G631" t="n">
        <v>4.7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21548-2024</t>
        </is>
      </c>
      <c r="B632" s="1" t="n">
        <v>45441</v>
      </c>
      <c r="C632" s="1" t="n">
        <v>45509</v>
      </c>
      <c r="D632" t="inlineStr">
        <is>
          <t>ÖREBRO LÄN</t>
        </is>
      </c>
      <c r="E632" t="inlineStr">
        <is>
          <t>LAXÅ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22840-2024</t>
        </is>
      </c>
      <c r="B633" s="1" t="n">
        <v>45448</v>
      </c>
      <c r="C633" s="1" t="n">
        <v>45509</v>
      </c>
      <c r="D633" t="inlineStr">
        <is>
          <t>ÖREBRO LÄN</t>
        </is>
      </c>
      <c r="E633" t="inlineStr">
        <is>
          <t>LAXÅ</t>
        </is>
      </c>
      <c r="F633" t="inlineStr">
        <is>
          <t>Övriga statliga verk och myndigheter</t>
        </is>
      </c>
      <c r="G633" t="n">
        <v>4.3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22928-2024</t>
        </is>
      </c>
      <c r="B634" s="1" t="n">
        <v>45448</v>
      </c>
      <c r="C634" s="1" t="n">
        <v>45509</v>
      </c>
      <c r="D634" t="inlineStr">
        <is>
          <t>ÖREBRO LÄN</t>
        </is>
      </c>
      <c r="E634" t="inlineStr">
        <is>
          <t>LAXÅ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22797-2024</t>
        </is>
      </c>
      <c r="B635" s="1" t="n">
        <v>45448</v>
      </c>
      <c r="C635" s="1" t="n">
        <v>45509</v>
      </c>
      <c r="D635" t="inlineStr">
        <is>
          <t>ÖREBRO LÄN</t>
        </is>
      </c>
      <c r="E635" t="inlineStr">
        <is>
          <t>LAXÅ</t>
        </is>
      </c>
      <c r="F635" t="inlineStr">
        <is>
          <t>Övriga statliga verk och myndigheter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22845-2024</t>
        </is>
      </c>
      <c r="B636" s="1" t="n">
        <v>45448</v>
      </c>
      <c r="C636" s="1" t="n">
        <v>45509</v>
      </c>
      <c r="D636" t="inlineStr">
        <is>
          <t>ÖREBRO LÄN</t>
        </is>
      </c>
      <c r="E636" t="inlineStr">
        <is>
          <t>LAXÅ</t>
        </is>
      </c>
      <c r="F636" t="inlineStr">
        <is>
          <t>Övriga statliga verk och myndigheter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22929-2024</t>
        </is>
      </c>
      <c r="B637" s="1" t="n">
        <v>45448</v>
      </c>
      <c r="C637" s="1" t="n">
        <v>45509</v>
      </c>
      <c r="D637" t="inlineStr">
        <is>
          <t>ÖREBRO LÄN</t>
        </is>
      </c>
      <c r="E637" t="inlineStr">
        <is>
          <t>LAXÅ</t>
        </is>
      </c>
      <c r="G637" t="n">
        <v>7.5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22806-2024</t>
        </is>
      </c>
      <c r="B638" s="1" t="n">
        <v>45448</v>
      </c>
      <c r="C638" s="1" t="n">
        <v>45509</v>
      </c>
      <c r="D638" t="inlineStr">
        <is>
          <t>ÖREBRO LÄN</t>
        </is>
      </c>
      <c r="E638" t="inlineStr">
        <is>
          <t>LAXÅ</t>
        </is>
      </c>
      <c r="F638" t="inlineStr">
        <is>
          <t>Övriga statliga verk och myndigheter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22811-2024</t>
        </is>
      </c>
      <c r="B639" s="1" t="n">
        <v>45448</v>
      </c>
      <c r="C639" s="1" t="n">
        <v>45509</v>
      </c>
      <c r="D639" t="inlineStr">
        <is>
          <t>ÖREBRO LÄN</t>
        </is>
      </c>
      <c r="E639" t="inlineStr">
        <is>
          <t>LAXÅ</t>
        </is>
      </c>
      <c r="F639" t="inlineStr">
        <is>
          <t>Övriga statliga verk och myndigheter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22831-2024</t>
        </is>
      </c>
      <c r="B640" s="1" t="n">
        <v>45448</v>
      </c>
      <c r="C640" s="1" t="n">
        <v>45509</v>
      </c>
      <c r="D640" t="inlineStr">
        <is>
          <t>ÖREBRO LÄN</t>
        </is>
      </c>
      <c r="E640" t="inlineStr">
        <is>
          <t>LAXÅ</t>
        </is>
      </c>
      <c r="F640" t="inlineStr">
        <is>
          <t>Övriga statliga verk och myndigheter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22927-2024</t>
        </is>
      </c>
      <c r="B641" s="1" t="n">
        <v>45448</v>
      </c>
      <c r="C641" s="1" t="n">
        <v>45509</v>
      </c>
      <c r="D641" t="inlineStr">
        <is>
          <t>ÖREBRO LÄN</t>
        </is>
      </c>
      <c r="E641" t="inlineStr">
        <is>
          <t>LAXÅ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23646-2024</t>
        </is>
      </c>
      <c r="B642" s="1" t="n">
        <v>45454</v>
      </c>
      <c r="C642" s="1" t="n">
        <v>45509</v>
      </c>
      <c r="D642" t="inlineStr">
        <is>
          <t>ÖREBRO LÄN</t>
        </is>
      </c>
      <c r="E642" t="inlineStr">
        <is>
          <t>LAXÅ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23674-2024</t>
        </is>
      </c>
      <c r="B643" s="1" t="n">
        <v>45454</v>
      </c>
      <c r="C643" s="1" t="n">
        <v>45509</v>
      </c>
      <c r="D643" t="inlineStr">
        <is>
          <t>ÖREBRO LÄN</t>
        </is>
      </c>
      <c r="E643" t="inlineStr">
        <is>
          <t>LAXÅ</t>
        </is>
      </c>
      <c r="G643" t="n">
        <v>6.5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25397-2024</t>
        </is>
      </c>
      <c r="B644" s="1" t="n">
        <v>45463</v>
      </c>
      <c r="C644" s="1" t="n">
        <v>45509</v>
      </c>
      <c r="D644" t="inlineStr">
        <is>
          <t>ÖREBRO LÄN</t>
        </is>
      </c>
      <c r="E644" t="inlineStr">
        <is>
          <t>LAXÅ</t>
        </is>
      </c>
      <c r="F644" t="inlineStr">
        <is>
          <t>Övriga statliga verk och myndigheter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25838-2024</t>
        </is>
      </c>
      <c r="B645" s="1" t="n">
        <v>45467</v>
      </c>
      <c r="C645" s="1" t="n">
        <v>45509</v>
      </c>
      <c r="D645" t="inlineStr">
        <is>
          <t>ÖREBRO LÄN</t>
        </is>
      </c>
      <c r="E645" t="inlineStr">
        <is>
          <t>LAXÅ</t>
        </is>
      </c>
      <c r="F645" t="inlineStr">
        <is>
          <t>Sveaskog</t>
        </is>
      </c>
      <c r="G645" t="n">
        <v>8.5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25842-2024</t>
        </is>
      </c>
      <c r="B646" s="1" t="n">
        <v>45467</v>
      </c>
      <c r="C646" s="1" t="n">
        <v>45509</v>
      </c>
      <c r="D646" t="inlineStr">
        <is>
          <t>ÖREBRO LÄN</t>
        </is>
      </c>
      <c r="E646" t="inlineStr">
        <is>
          <t>LAXÅ</t>
        </is>
      </c>
      <c r="F646" t="inlineStr">
        <is>
          <t>Sveaskog</t>
        </is>
      </c>
      <c r="G646" t="n">
        <v>6.2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25843-2024</t>
        </is>
      </c>
      <c r="B647" s="1" t="n">
        <v>45467</v>
      </c>
      <c r="C647" s="1" t="n">
        <v>45509</v>
      </c>
      <c r="D647" t="inlineStr">
        <is>
          <t>ÖREBRO LÄN</t>
        </is>
      </c>
      <c r="E647" t="inlineStr">
        <is>
          <t>LAXÅ</t>
        </is>
      </c>
      <c r="F647" t="inlineStr">
        <is>
          <t>Sveaskog</t>
        </is>
      </c>
      <c r="G647" t="n">
        <v>6.2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25871-2024</t>
        </is>
      </c>
      <c r="B648" s="1" t="n">
        <v>45467</v>
      </c>
      <c r="C648" s="1" t="n">
        <v>45509</v>
      </c>
      <c r="D648" t="inlineStr">
        <is>
          <t>ÖREBRO LÄN</t>
        </is>
      </c>
      <c r="E648" t="inlineStr">
        <is>
          <t>LAXÅ</t>
        </is>
      </c>
      <c r="F648" t="inlineStr">
        <is>
          <t>Sveaskog</t>
        </is>
      </c>
      <c r="G648" t="n">
        <v>10.3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25869-2024</t>
        </is>
      </c>
      <c r="B649" s="1" t="n">
        <v>45467</v>
      </c>
      <c r="C649" s="1" t="n">
        <v>45509</v>
      </c>
      <c r="D649" t="inlineStr">
        <is>
          <t>ÖREBRO LÄN</t>
        </is>
      </c>
      <c r="E649" t="inlineStr">
        <is>
          <t>LAXÅ</t>
        </is>
      </c>
      <c r="F649" t="inlineStr">
        <is>
          <t>Sveaskog</t>
        </is>
      </c>
      <c r="G649" t="n">
        <v>7.2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25873-2024</t>
        </is>
      </c>
      <c r="B650" s="1" t="n">
        <v>45467</v>
      </c>
      <c r="C650" s="1" t="n">
        <v>45509</v>
      </c>
      <c r="D650" t="inlineStr">
        <is>
          <t>ÖREBRO LÄN</t>
        </is>
      </c>
      <c r="E650" t="inlineStr">
        <is>
          <t>LAXÅ</t>
        </is>
      </c>
      <c r="F650" t="inlineStr">
        <is>
          <t>Sveaskog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25841-2024</t>
        </is>
      </c>
      <c r="B651" s="1" t="n">
        <v>45467</v>
      </c>
      <c r="C651" s="1" t="n">
        <v>45509</v>
      </c>
      <c r="D651" t="inlineStr">
        <is>
          <t>ÖREBRO LÄN</t>
        </is>
      </c>
      <c r="E651" t="inlineStr">
        <is>
          <t>LAXÅ</t>
        </is>
      </c>
      <c r="F651" t="inlineStr">
        <is>
          <t>Sveaskog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25845-2024</t>
        </is>
      </c>
      <c r="B652" s="1" t="n">
        <v>45467</v>
      </c>
      <c r="C652" s="1" t="n">
        <v>45509</v>
      </c>
      <c r="D652" t="inlineStr">
        <is>
          <t>ÖREBRO LÄN</t>
        </is>
      </c>
      <c r="E652" t="inlineStr">
        <is>
          <t>LAXÅ</t>
        </is>
      </c>
      <c r="F652" t="inlineStr">
        <is>
          <t>Sveaskog</t>
        </is>
      </c>
      <c r="G652" t="n">
        <v>6.2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25870-2024</t>
        </is>
      </c>
      <c r="B653" s="1" t="n">
        <v>45467</v>
      </c>
      <c r="C653" s="1" t="n">
        <v>45509</v>
      </c>
      <c r="D653" t="inlineStr">
        <is>
          <t>ÖREBRO LÄN</t>
        </is>
      </c>
      <c r="E653" t="inlineStr">
        <is>
          <t>LAXÅ</t>
        </is>
      </c>
      <c r="F653" t="inlineStr">
        <is>
          <t>Sveaskog</t>
        </is>
      </c>
      <c r="G653" t="n">
        <v>7.2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25874-2024</t>
        </is>
      </c>
      <c r="B654" s="1" t="n">
        <v>45467</v>
      </c>
      <c r="C654" s="1" t="n">
        <v>45509</v>
      </c>
      <c r="D654" t="inlineStr">
        <is>
          <t>ÖREBRO LÄN</t>
        </is>
      </c>
      <c r="E654" t="inlineStr">
        <is>
          <t>LAXÅ</t>
        </is>
      </c>
      <c r="F654" t="inlineStr">
        <is>
          <t>Sveaskog</t>
        </is>
      </c>
      <c r="G654" t="n">
        <v>5.4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27039-2024</t>
        </is>
      </c>
      <c r="B655" s="1" t="n">
        <v>45471</v>
      </c>
      <c r="C655" s="1" t="n">
        <v>45509</v>
      </c>
      <c r="D655" t="inlineStr">
        <is>
          <t>ÖREBRO LÄN</t>
        </is>
      </c>
      <c r="E655" t="inlineStr">
        <is>
          <t>LAXÅ</t>
        </is>
      </c>
      <c r="F655" t="inlineStr">
        <is>
          <t>Sveaskog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31190-2024</t>
        </is>
      </c>
      <c r="B656" s="1" t="n">
        <v>45503</v>
      </c>
      <c r="C656" s="1" t="n">
        <v>45509</v>
      </c>
      <c r="D656" t="inlineStr">
        <is>
          <t>ÖREBRO LÄN</t>
        </is>
      </c>
      <c r="E656" t="inlineStr">
        <is>
          <t>LAXÅ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31191-2024</t>
        </is>
      </c>
      <c r="B657" s="1" t="n">
        <v>45503</v>
      </c>
      <c r="C657" s="1" t="n">
        <v>45509</v>
      </c>
      <c r="D657" t="inlineStr">
        <is>
          <t>ÖREBRO LÄN</t>
        </is>
      </c>
      <c r="E657" t="inlineStr">
        <is>
          <t>LAXÅ</t>
        </is>
      </c>
      <c r="G657" t="n">
        <v>3.9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>
      <c r="A658" t="inlineStr">
        <is>
          <t>A 31189-2024</t>
        </is>
      </c>
      <c r="B658" s="1" t="n">
        <v>45503</v>
      </c>
      <c r="C658" s="1" t="n">
        <v>45509</v>
      </c>
      <c r="D658" t="inlineStr">
        <is>
          <t>ÖREBRO LÄN</t>
        </is>
      </c>
      <c r="E658" t="inlineStr">
        <is>
          <t>LAXÅ</t>
        </is>
      </c>
      <c r="G658" t="n">
        <v>4.8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2024-08-05T10:36:51Z</dcterms:created>
  <dcterms:modified xmlns:dcterms="http://purl.org/dc/terms/" xmlns:xsi="http://www.w3.org/2001/XMLSchema-instance" xsi:type="dcterms:W3CDTF">2024-08-05T10:36:51Z</dcterms:modified>
</cp:coreProperties>
</file>