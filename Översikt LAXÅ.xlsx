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46063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46063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54302-2022</t>
        </is>
      </c>
      <c r="B4" s="1" t="n">
        <v>44882</v>
      </c>
      <c r="C4" s="1" t="n">
        <v>46063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2.1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Järpe
Spillkråka
Talltita
Bronshjon
Dropptaggsvamp
Grön sköldmossa
Vågbandad barkbock
Tjäder</t>
        </is>
      </c>
      <c r="S4">
        <f>HYPERLINK("https://klasma.github.io/Logging_1860/artfynd/A 54302-2022 artfynd.xlsx", "A 54302-2022")</f>
        <v/>
      </c>
      <c r="T4">
        <f>HYPERLINK("https://klasma.github.io/Logging_1860/kartor/A 54302-2022 karta.png", "A 54302-2022")</f>
        <v/>
      </c>
      <c r="V4">
        <f>HYPERLINK("https://klasma.github.io/Logging_1860/klagomål/A 54302-2022 FSC-klagomål.docx", "A 54302-2022")</f>
        <v/>
      </c>
      <c r="W4">
        <f>HYPERLINK("https://klasma.github.io/Logging_1860/klagomålsmail/A 54302-2022 FSC-klagomål mail.docx", "A 54302-2022")</f>
        <v/>
      </c>
      <c r="X4">
        <f>HYPERLINK("https://klasma.github.io/Logging_1860/tillsyn/A 54302-2022 tillsynsbegäran.docx", "A 54302-2022")</f>
        <v/>
      </c>
      <c r="Y4">
        <f>HYPERLINK("https://klasma.github.io/Logging_1860/tillsynsmail/A 54302-2022 tillsynsbegäran mail.docx", "A 54302-2022")</f>
        <v/>
      </c>
      <c r="Z4">
        <f>HYPERLINK("https://klasma.github.io/Logging_1860/fåglar/A 54302-2022 prioriterade fågelarter.docx", "A 54302-2022")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46063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5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Motaggsvamp
Spillkråka
Tretåig hackspett
Dropptaggsvamp
Grön sköldmossa
Orre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46063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56010-2025</t>
        </is>
      </c>
      <c r="B7" s="1" t="n">
        <v>45973.58516203704</v>
      </c>
      <c r="C7" s="1" t="n">
        <v>46063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1.5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Vedticka
Vågbandad barkbock
Tjäder</t>
        </is>
      </c>
      <c r="S7">
        <f>HYPERLINK("https://klasma.github.io/Logging_1860/artfynd/A 56010-2025 artfynd.xlsx", "A 56010-2025")</f>
        <v/>
      </c>
      <c r="T7">
        <f>HYPERLINK("https://klasma.github.io/Logging_1860/kartor/A 56010-2025 karta.png", "A 56010-2025")</f>
        <v/>
      </c>
      <c r="V7">
        <f>HYPERLINK("https://klasma.github.io/Logging_1860/klagomål/A 56010-2025 FSC-klagomål.docx", "A 56010-2025")</f>
        <v/>
      </c>
      <c r="W7">
        <f>HYPERLINK("https://klasma.github.io/Logging_1860/klagomålsmail/A 56010-2025 FSC-klagomål mail.docx", "A 56010-2025")</f>
        <v/>
      </c>
      <c r="X7">
        <f>HYPERLINK("https://klasma.github.io/Logging_1860/tillsyn/A 56010-2025 tillsynsbegäran.docx", "A 56010-2025")</f>
        <v/>
      </c>
      <c r="Y7">
        <f>HYPERLINK("https://klasma.github.io/Logging_1860/tillsynsmail/A 56010-2025 tillsynsbegäran mail.docx", "A 56010-2025")</f>
        <v/>
      </c>
      <c r="Z7">
        <f>HYPERLINK("https://klasma.github.io/Logging_1860/fåglar/A 56010-2025 prioriterade fågelarter.docx", "A 56010-2025")</f>
        <v/>
      </c>
    </row>
    <row r="8" ht="15" customHeight="1">
      <c r="A8" t="inlineStr">
        <is>
          <t>A 60587-2025</t>
        </is>
      </c>
      <c r="B8" s="1" t="n">
        <v>45996.33436342593</v>
      </c>
      <c r="C8" s="1" t="n">
        <v>46063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Spillkråka
Talltita
Tretåig hackspett
Tjäder
Mattlummer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46063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46063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50580-2022</t>
        </is>
      </c>
      <c r="B11" s="1" t="n">
        <v>44861</v>
      </c>
      <c r="C11" s="1" t="n">
        <v>46063</v>
      </c>
      <c r="D11" t="inlineStr">
        <is>
          <t>ÖREBRO LÄN</t>
        </is>
      </c>
      <c r="E11" t="inlineStr">
        <is>
          <t>LAXÅ</t>
        </is>
      </c>
      <c r="G11" t="n">
        <v>15.9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HYPERLINK("https://klasma.github.io/Logging_1860/artfynd/A 50580-2022 artfynd.xlsx", "A 50580-2022")</f>
        <v/>
      </c>
      <c r="T11">
        <f>HYPERLINK("https://klasma.github.io/Logging_1860/kartor/A 50580-2022 karta.png", "A 50580-2022")</f>
        <v/>
      </c>
      <c r="V11">
        <f>HYPERLINK("https://klasma.github.io/Logging_1860/klagomål/A 50580-2022 FSC-klagomål.docx", "A 50580-2022")</f>
        <v/>
      </c>
      <c r="W11">
        <f>HYPERLINK("https://klasma.github.io/Logging_1860/klagomålsmail/A 50580-2022 FSC-klagomål mail.docx", "A 50580-2022")</f>
        <v/>
      </c>
      <c r="X11">
        <f>HYPERLINK("https://klasma.github.io/Logging_1860/tillsyn/A 50580-2022 tillsynsbegäran.docx", "A 50580-2022")</f>
        <v/>
      </c>
      <c r="Y11">
        <f>HYPERLINK("https://klasma.github.io/Logging_1860/tillsynsmail/A 50580-2022 tillsynsbegäran mail.docx", "A 50580-2022")</f>
        <v/>
      </c>
    </row>
    <row r="12" ht="15" customHeight="1">
      <c r="A12" t="inlineStr">
        <is>
          <t>A 34279-2024</t>
        </is>
      </c>
      <c r="B12" s="1" t="n">
        <v>45524</v>
      </c>
      <c r="C12" s="1" t="n">
        <v>46063</v>
      </c>
      <c r="D12" t="inlineStr">
        <is>
          <t>ÖREBRO LÄN</t>
        </is>
      </c>
      <c r="E12" t="inlineStr">
        <is>
          <t>LAXÅ</t>
        </is>
      </c>
      <c r="G12" t="n">
        <v>0.9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Gråkråka
Grönsiska
Järnsparv</t>
        </is>
      </c>
      <c r="S12">
        <f>HYPERLINK("https://klasma.github.io/Logging_1860/artfynd/A 34279-2024 artfynd.xlsx", "A 34279-2024")</f>
        <v/>
      </c>
      <c r="T12">
        <f>HYPERLINK("https://klasma.github.io/Logging_1860/kartor/A 34279-2024 karta.png", "A 34279-2024")</f>
        <v/>
      </c>
      <c r="V12">
        <f>HYPERLINK("https://klasma.github.io/Logging_1860/klagomål/A 34279-2024 FSC-klagomål.docx", "A 34279-2024")</f>
        <v/>
      </c>
      <c r="W12">
        <f>HYPERLINK("https://klasma.github.io/Logging_1860/klagomålsmail/A 34279-2024 FSC-klagomål mail.docx", "A 34279-2024")</f>
        <v/>
      </c>
      <c r="X12">
        <f>HYPERLINK("https://klasma.github.io/Logging_1860/tillsyn/A 34279-2024 tillsynsbegäran.docx", "A 34279-2024")</f>
        <v/>
      </c>
      <c r="Y12">
        <f>HYPERLINK("https://klasma.github.io/Logging_1860/tillsynsmail/A 34279-2024 tillsynsbegäran mail.docx", "A 34279-2024")</f>
        <v/>
      </c>
      <c r="Z12">
        <f>HYPERLINK("https://klasma.github.io/Logging_1860/fåglar/A 34279-2024 prioriterade fågelarter.docx", "A 34279-2024")</f>
        <v/>
      </c>
    </row>
    <row r="13" ht="15" customHeight="1">
      <c r="A13" t="inlineStr">
        <is>
          <t>A 54877-2024</t>
        </is>
      </c>
      <c r="B13" s="1" t="n">
        <v>45618.60362268519</v>
      </c>
      <c r="C13" s="1" t="n">
        <v>46063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Dropptaggsvamp
Grovticka</t>
        </is>
      </c>
      <c r="S13">
        <f>HYPERLINK("https://klasma.github.io/Logging_1860/artfynd/A 54877-2024 artfynd.xlsx", "A 54877-2024")</f>
        <v/>
      </c>
      <c r="T13">
        <f>HYPERLINK("https://klasma.github.io/Logging_1860/kartor/A 54877-2024 karta.png", "A 54877-2024")</f>
        <v/>
      </c>
      <c r="V13">
        <f>HYPERLINK("https://klasma.github.io/Logging_1860/klagomål/A 54877-2024 FSC-klagomål.docx", "A 54877-2024")</f>
        <v/>
      </c>
      <c r="W13">
        <f>HYPERLINK("https://klasma.github.io/Logging_1860/klagomålsmail/A 54877-2024 FSC-klagomål mail.docx", "A 54877-2024")</f>
        <v/>
      </c>
      <c r="X13">
        <f>HYPERLINK("https://klasma.github.io/Logging_1860/tillsyn/A 54877-2024 tillsynsbegäran.docx", "A 54877-2024")</f>
        <v/>
      </c>
      <c r="Y13">
        <f>HYPERLINK("https://klasma.github.io/Logging_1860/tillsynsmail/A 54877-2024 tillsynsbegäran mail.docx", "A 54877-2024")</f>
        <v/>
      </c>
    </row>
    <row r="14" ht="15" customHeight="1">
      <c r="A14" t="inlineStr">
        <is>
          <t>A 34283-2024</t>
        </is>
      </c>
      <c r="B14" s="1" t="n">
        <v>45524</v>
      </c>
      <c r="C14" s="1" t="n">
        <v>46063</v>
      </c>
      <c r="D14" t="inlineStr">
        <is>
          <t>ÖREBRO LÄN</t>
        </is>
      </c>
      <c r="E14" t="inlineStr">
        <is>
          <t>LAXÅ</t>
        </is>
      </c>
      <c r="G14" t="n">
        <v>1.8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Grönsiska
Järnsparv
Kungsfågel</t>
        </is>
      </c>
      <c r="S14">
        <f>HYPERLINK("https://klasma.github.io/Logging_1860/artfynd/A 34283-2024 artfynd.xlsx", "A 34283-2024")</f>
        <v/>
      </c>
      <c r="T14">
        <f>HYPERLINK("https://klasma.github.io/Logging_1860/kartor/A 34283-2024 karta.png", "A 34283-2024")</f>
        <v/>
      </c>
      <c r="V14">
        <f>HYPERLINK("https://klasma.github.io/Logging_1860/klagomål/A 34283-2024 FSC-klagomål.docx", "A 34283-2024")</f>
        <v/>
      </c>
      <c r="W14">
        <f>HYPERLINK("https://klasma.github.io/Logging_1860/klagomålsmail/A 34283-2024 FSC-klagomål mail.docx", "A 34283-2024")</f>
        <v/>
      </c>
      <c r="X14">
        <f>HYPERLINK("https://klasma.github.io/Logging_1860/tillsyn/A 34283-2024 tillsynsbegäran.docx", "A 34283-2024")</f>
        <v/>
      </c>
      <c r="Y14">
        <f>HYPERLINK("https://klasma.github.io/Logging_1860/tillsynsmail/A 34283-2024 tillsynsbegäran mail.docx", "A 34283-2024")</f>
        <v/>
      </c>
      <c r="Z14">
        <f>HYPERLINK("https://klasma.github.io/Logging_1860/fåglar/A 34283-2024 prioriterade fågelarter.docx", "A 34283-2024")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46063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54304-2022</t>
        </is>
      </c>
      <c r="B16" s="1" t="n">
        <v>44882</v>
      </c>
      <c r="C16" s="1" t="n">
        <v>46063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Tjäder</t>
        </is>
      </c>
      <c r="S16">
        <f>HYPERLINK("https://klasma.github.io/Logging_1860/artfynd/A 54304-2022 artfynd.xlsx", "A 54304-2022")</f>
        <v/>
      </c>
      <c r="T16">
        <f>HYPERLINK("https://klasma.github.io/Logging_1860/kartor/A 54304-2022 karta.png", "A 54304-2022")</f>
        <v/>
      </c>
      <c r="V16">
        <f>HYPERLINK("https://klasma.github.io/Logging_1860/klagomål/A 54304-2022 FSC-klagomål.docx", "A 54304-2022")</f>
        <v/>
      </c>
      <c r="W16">
        <f>HYPERLINK("https://klasma.github.io/Logging_1860/klagomålsmail/A 54304-2022 FSC-klagomål mail.docx", "A 54304-2022")</f>
        <v/>
      </c>
      <c r="X16">
        <f>HYPERLINK("https://klasma.github.io/Logging_1860/tillsyn/A 54304-2022 tillsynsbegäran.docx", "A 54304-2022")</f>
        <v/>
      </c>
      <c r="Y16">
        <f>HYPERLINK("https://klasma.github.io/Logging_1860/tillsynsmail/A 54304-2022 tillsynsbegäran mail.docx", "A 54304-2022")</f>
        <v/>
      </c>
      <c r="Z16">
        <f>HYPERLINK("https://klasma.github.io/Logging_1860/fåglar/A 54304-2022 prioriterade fågelarter.docx", "A 54304-2022")</f>
        <v/>
      </c>
    </row>
    <row r="17" ht="15" customHeight="1">
      <c r="A17" t="inlineStr">
        <is>
          <t>A 36880-2021</t>
        </is>
      </c>
      <c r="B17" s="1" t="n">
        <v>44393</v>
      </c>
      <c r="C17" s="1" t="n">
        <v>46063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Safsa
Revlummer</t>
        </is>
      </c>
      <c r="S17">
        <f>HYPERLINK("https://klasma.github.io/Logging_1860/artfynd/A 36880-2021 artfynd.xlsx", "A 36880-2021")</f>
        <v/>
      </c>
      <c r="T17">
        <f>HYPERLINK("https://klasma.github.io/Logging_1860/kartor/A 36880-2021 karta.png", "A 36880-2021")</f>
        <v/>
      </c>
      <c r="V17">
        <f>HYPERLINK("https://klasma.github.io/Logging_1860/klagomål/A 36880-2021 FSC-klagomål.docx", "A 36880-2021")</f>
        <v/>
      </c>
      <c r="W17">
        <f>HYPERLINK("https://klasma.github.io/Logging_1860/klagomålsmail/A 36880-2021 FSC-klagomål mail.docx", "A 36880-2021")</f>
        <v/>
      </c>
      <c r="X17">
        <f>HYPERLINK("https://klasma.github.io/Logging_1860/tillsyn/A 36880-2021 tillsynsbegäran.docx", "A 36880-2021")</f>
        <v/>
      </c>
      <c r="Y17">
        <f>HYPERLINK("https://klasma.github.io/Logging_1860/tillsynsmail/A 36880-2021 tillsynsbegäran mail.docx", "A 36880-2021")</f>
        <v/>
      </c>
    </row>
    <row r="18" ht="15" customHeight="1">
      <c r="A18" t="inlineStr">
        <is>
          <t>A 50753-2022</t>
        </is>
      </c>
      <c r="B18" s="1" t="n">
        <v>44867</v>
      </c>
      <c r="C18" s="1" t="n">
        <v>46063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Tjäder</t>
        </is>
      </c>
      <c r="S18">
        <f>HYPERLINK("https://klasma.github.io/Logging_1860/artfynd/A 50753-2022 artfynd.xlsx", "A 50753-2022")</f>
        <v/>
      </c>
      <c r="T18">
        <f>HYPERLINK("https://klasma.github.io/Logging_1860/kartor/A 50753-2022 karta.png", "A 50753-2022")</f>
        <v/>
      </c>
      <c r="V18">
        <f>HYPERLINK("https://klasma.github.io/Logging_1860/klagomål/A 50753-2022 FSC-klagomål.docx", "A 50753-2022")</f>
        <v/>
      </c>
      <c r="W18">
        <f>HYPERLINK("https://klasma.github.io/Logging_1860/klagomålsmail/A 50753-2022 FSC-klagomål mail.docx", "A 50753-2022")</f>
        <v/>
      </c>
      <c r="X18">
        <f>HYPERLINK("https://klasma.github.io/Logging_1860/tillsyn/A 50753-2022 tillsynsbegäran.docx", "A 50753-2022")</f>
        <v/>
      </c>
      <c r="Y18">
        <f>HYPERLINK("https://klasma.github.io/Logging_1860/tillsynsmail/A 50753-2022 tillsynsbegäran mail.docx", "A 50753-2022")</f>
        <v/>
      </c>
      <c r="Z18">
        <f>HYPERLINK("https://klasma.github.io/Logging_1860/fåglar/A 50753-2022 prioriterade fågelarter.docx", "A 50753-2022")</f>
        <v/>
      </c>
    </row>
    <row r="19" ht="15" customHeight="1">
      <c r="A19" t="inlineStr">
        <is>
          <t>A 25397-2024</t>
        </is>
      </c>
      <c r="B19" s="1" t="n">
        <v>45463.32967592592</v>
      </c>
      <c r="C19" s="1" t="n">
        <v>46063</v>
      </c>
      <c r="D19" t="inlineStr">
        <is>
          <t>ÖREBRO LÄN</t>
        </is>
      </c>
      <c r="E19" t="inlineStr">
        <is>
          <t>LAXÅ</t>
        </is>
      </c>
      <c r="F19" t="inlineStr">
        <is>
          <t>Övriga statliga verk och myndigheter</t>
        </is>
      </c>
      <c r="G19" t="n">
        <v>1.1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Tretåig hackspett</t>
        </is>
      </c>
      <c r="S19">
        <f>HYPERLINK("https://klasma.github.io/Logging_1860/artfynd/A 25397-2024 artfynd.xlsx", "A 25397-2024")</f>
        <v/>
      </c>
      <c r="T19">
        <f>HYPERLINK("https://klasma.github.io/Logging_1860/kartor/A 25397-2024 karta.png", "A 25397-2024")</f>
        <v/>
      </c>
      <c r="V19">
        <f>HYPERLINK("https://klasma.github.io/Logging_1860/klagomål/A 25397-2024 FSC-klagomål.docx", "A 25397-2024")</f>
        <v/>
      </c>
      <c r="W19">
        <f>HYPERLINK("https://klasma.github.io/Logging_1860/klagomålsmail/A 25397-2024 FSC-klagomål mail.docx", "A 25397-2024")</f>
        <v/>
      </c>
      <c r="X19">
        <f>HYPERLINK("https://klasma.github.io/Logging_1860/tillsyn/A 25397-2024 tillsynsbegäran.docx", "A 25397-2024")</f>
        <v/>
      </c>
      <c r="Y19">
        <f>HYPERLINK("https://klasma.github.io/Logging_1860/tillsynsmail/A 25397-2024 tillsynsbegäran mail.docx", "A 25397-2024")</f>
        <v/>
      </c>
      <c r="Z19">
        <f>HYPERLINK("https://klasma.github.io/Logging_1860/fåglar/A 25397-2024 prioriterade fågelarter.docx", "A 25397-2024")</f>
        <v/>
      </c>
    </row>
    <row r="20" ht="15" customHeight="1">
      <c r="A20" t="inlineStr">
        <is>
          <t>A 61096-2023</t>
        </is>
      </c>
      <c r="B20" s="1" t="n">
        <v>45261</v>
      </c>
      <c r="C20" s="1" t="n">
        <v>46063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4.5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Entita
Björksplintborre</t>
        </is>
      </c>
      <c r="S20">
        <f>HYPERLINK("https://klasma.github.io/Logging_1860/artfynd/A 61096-2023 artfynd.xlsx", "A 61096-2023")</f>
        <v/>
      </c>
      <c r="T20">
        <f>HYPERLINK("https://klasma.github.io/Logging_1860/kartor/A 61096-2023 karta.png", "A 61096-2023")</f>
        <v/>
      </c>
      <c r="V20">
        <f>HYPERLINK("https://klasma.github.io/Logging_1860/klagomål/A 61096-2023 FSC-klagomål.docx", "A 61096-2023")</f>
        <v/>
      </c>
      <c r="W20">
        <f>HYPERLINK("https://klasma.github.io/Logging_1860/klagomålsmail/A 61096-2023 FSC-klagomål mail.docx", "A 61096-2023")</f>
        <v/>
      </c>
      <c r="X20">
        <f>HYPERLINK("https://klasma.github.io/Logging_1860/tillsyn/A 61096-2023 tillsynsbegäran.docx", "A 61096-2023")</f>
        <v/>
      </c>
      <c r="Y20">
        <f>HYPERLINK("https://klasma.github.io/Logging_1860/tillsynsmail/A 61096-2023 tillsynsbegäran mail.docx", "A 61096-2023")</f>
        <v/>
      </c>
      <c r="Z20">
        <f>HYPERLINK("https://klasma.github.io/Logging_1860/fåglar/A 61096-2023 prioriterade fågelarter.docx", "A 61096-2023")</f>
        <v/>
      </c>
    </row>
    <row r="21" ht="15" customHeight="1">
      <c r="A21" t="inlineStr">
        <is>
          <t>A 62805-2025</t>
        </is>
      </c>
      <c r="B21" s="1" t="n">
        <v>46008.64375</v>
      </c>
      <c r="C21" s="1" t="n">
        <v>46063</v>
      </c>
      <c r="D21" t="inlineStr">
        <is>
          <t>ÖREBRO LÄN</t>
        </is>
      </c>
      <c r="E21" t="inlineStr">
        <is>
          <t>LAXÅ</t>
        </is>
      </c>
      <c r="F21" t="inlineStr">
        <is>
          <t>Allmännings- och besparingsskogar</t>
        </is>
      </c>
      <c r="G21" t="n">
        <v>15.5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Talltita</t>
        </is>
      </c>
      <c r="S21">
        <f>HYPERLINK("https://klasma.github.io/Logging_1860/artfynd/A 62805-2025 artfynd.xlsx", "A 62805-2025")</f>
        <v/>
      </c>
      <c r="T21">
        <f>HYPERLINK("https://klasma.github.io/Logging_1860/kartor/A 62805-2025 karta.png", "A 62805-2025")</f>
        <v/>
      </c>
      <c r="V21">
        <f>HYPERLINK("https://klasma.github.io/Logging_1860/klagomål/A 62805-2025 FSC-klagomål.docx", "A 62805-2025")</f>
        <v/>
      </c>
      <c r="W21">
        <f>HYPERLINK("https://klasma.github.io/Logging_1860/klagomålsmail/A 62805-2025 FSC-klagomål mail.docx", "A 62805-2025")</f>
        <v/>
      </c>
      <c r="X21">
        <f>HYPERLINK("https://klasma.github.io/Logging_1860/tillsyn/A 62805-2025 tillsynsbegäran.docx", "A 62805-2025")</f>
        <v/>
      </c>
      <c r="Y21">
        <f>HYPERLINK("https://klasma.github.io/Logging_1860/tillsynsmail/A 62805-2025 tillsynsbegäran mail.docx", "A 62805-2025")</f>
        <v/>
      </c>
      <c r="Z21">
        <f>HYPERLINK("https://klasma.github.io/Logging_1860/fåglar/A 62805-2025 prioriterade fågelarter.docx", "A 62805-2025")</f>
        <v/>
      </c>
    </row>
    <row r="22" ht="15" customHeight="1">
      <c r="A22" t="inlineStr">
        <is>
          <t>A 50770-2022</t>
        </is>
      </c>
      <c r="B22" s="1" t="n">
        <v>44867.4266087963</v>
      </c>
      <c r="C22" s="1" t="n">
        <v>46063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5.3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HYPERLINK("https://klasma.github.io/Logging_1860/artfynd/A 50770-2022 artfynd.xlsx", "A 50770-2022")</f>
        <v/>
      </c>
      <c r="T22">
        <f>HYPERLINK("https://klasma.github.io/Logging_1860/kartor/A 50770-2022 karta.png", "A 50770-2022")</f>
        <v/>
      </c>
      <c r="V22">
        <f>HYPERLINK("https://klasma.github.io/Logging_1860/klagomål/A 50770-2022 FSC-klagomål.docx", "A 50770-2022")</f>
        <v/>
      </c>
      <c r="W22">
        <f>HYPERLINK("https://klasma.github.io/Logging_1860/klagomålsmail/A 50770-2022 FSC-klagomål mail.docx", "A 50770-2022")</f>
        <v/>
      </c>
      <c r="X22">
        <f>HYPERLINK("https://klasma.github.io/Logging_1860/tillsyn/A 50770-2022 tillsynsbegäran.docx", "A 50770-2022")</f>
        <v/>
      </c>
      <c r="Y22">
        <f>HYPERLINK("https://klasma.github.io/Logging_1860/tillsynsmail/A 50770-2022 tillsynsbegäran mail.docx", "A 50770-2022")</f>
        <v/>
      </c>
      <c r="Z22">
        <f>HYPERLINK("https://klasma.github.io/Logging_1860/fåglar/A 50770-2022 prioriterade fågelarter.docx", "A 50770-2022")</f>
        <v/>
      </c>
    </row>
    <row r="23" ht="15" customHeight="1">
      <c r="A23" t="inlineStr">
        <is>
          <t>A 56004-2025</t>
        </is>
      </c>
      <c r="B23" s="1" t="n">
        <v>45973.57854166667</v>
      </c>
      <c r="C23" s="1" t="n">
        <v>46063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Tjäder</t>
        </is>
      </c>
      <c r="S23">
        <f>HYPERLINK("https://klasma.github.io/Logging_1860/artfynd/A 56004-2025 artfynd.xlsx", "A 56004-2025")</f>
        <v/>
      </c>
      <c r="T23">
        <f>HYPERLINK("https://klasma.github.io/Logging_1860/kartor/A 56004-2025 karta.png", "A 56004-2025")</f>
        <v/>
      </c>
      <c r="V23">
        <f>HYPERLINK("https://klasma.github.io/Logging_1860/klagomål/A 56004-2025 FSC-klagomål.docx", "A 56004-2025")</f>
        <v/>
      </c>
      <c r="W23">
        <f>HYPERLINK("https://klasma.github.io/Logging_1860/klagomålsmail/A 56004-2025 FSC-klagomål mail.docx", "A 56004-2025")</f>
        <v/>
      </c>
      <c r="X23">
        <f>HYPERLINK("https://klasma.github.io/Logging_1860/tillsyn/A 56004-2025 tillsynsbegäran.docx", "A 56004-2025")</f>
        <v/>
      </c>
      <c r="Y23">
        <f>HYPERLINK("https://klasma.github.io/Logging_1860/tillsynsmail/A 56004-2025 tillsynsbegäran mail.docx", "A 56004-2025")</f>
        <v/>
      </c>
      <c r="Z23">
        <f>HYPERLINK("https://klasma.github.io/Logging_1860/fåglar/A 56004-2025 prioriterade fågelarter.docx", "A 56004-2025")</f>
        <v/>
      </c>
    </row>
    <row r="24" ht="15" customHeight="1">
      <c r="A24" t="inlineStr">
        <is>
          <t>A 11018-2022</t>
        </is>
      </c>
      <c r="B24" s="1" t="n">
        <v>44628</v>
      </c>
      <c r="C24" s="1" t="n">
        <v>46063</v>
      </c>
      <c r="D24" t="inlineStr">
        <is>
          <t>ÖREBRO LÄN</t>
        </is>
      </c>
      <c r="E24" t="inlineStr">
        <is>
          <t>LAXÅ</t>
        </is>
      </c>
      <c r="G24" t="n">
        <v>9.300000000000001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Västlig hakmossa</t>
        </is>
      </c>
      <c r="S24">
        <f>HYPERLINK("https://klasma.github.io/Logging_1860/artfynd/A 11018-2022 artfynd.xlsx", "A 11018-2022")</f>
        <v/>
      </c>
      <c r="T24">
        <f>HYPERLINK("https://klasma.github.io/Logging_1860/kartor/A 11018-2022 karta.png", "A 11018-2022")</f>
        <v/>
      </c>
      <c r="V24">
        <f>HYPERLINK("https://klasma.github.io/Logging_1860/klagomål/A 11018-2022 FSC-klagomål.docx", "A 11018-2022")</f>
        <v/>
      </c>
      <c r="W24">
        <f>HYPERLINK("https://klasma.github.io/Logging_1860/klagomålsmail/A 11018-2022 FSC-klagomål mail.docx", "A 11018-2022")</f>
        <v/>
      </c>
      <c r="X24">
        <f>HYPERLINK("https://klasma.github.io/Logging_1860/tillsyn/A 11018-2022 tillsynsbegäran.docx", "A 11018-2022")</f>
        <v/>
      </c>
      <c r="Y24">
        <f>HYPERLINK("https://klasma.github.io/Logging_1860/tillsynsmail/A 11018-2022 tillsynsbegäran mail.docx", "A 11018-2022")</f>
        <v/>
      </c>
      <c r="Z24">
        <f>HYPERLINK("https://klasma.github.io/Logging_1860/fåglar/A 11018-2022 prioriterade fågelarter.docx", "A 11018-2022")</f>
        <v/>
      </c>
    </row>
    <row r="25" ht="15" customHeight="1">
      <c r="A25" t="inlineStr">
        <is>
          <t>A 15371-2025</t>
        </is>
      </c>
      <c r="B25" s="1" t="n">
        <v>45747.40402777777</v>
      </c>
      <c r="C25" s="1" t="n">
        <v>46063</v>
      </c>
      <c r="D25" t="inlineStr">
        <is>
          <t>ÖREBRO LÄN</t>
        </is>
      </c>
      <c r="E25" t="inlineStr">
        <is>
          <t>LAXÅ</t>
        </is>
      </c>
      <c r="G25" t="n">
        <v>6.1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HYPERLINK("https://klasma.github.io/Logging_1860/artfynd/A 15371-2025 artfynd.xlsx", "A 15371-2025")</f>
        <v/>
      </c>
      <c r="T25">
        <f>HYPERLINK("https://klasma.github.io/Logging_1860/kartor/A 15371-2025 karta.png", "A 15371-2025")</f>
        <v/>
      </c>
      <c r="V25">
        <f>HYPERLINK("https://klasma.github.io/Logging_1860/klagomål/A 15371-2025 FSC-klagomål.docx", "A 15371-2025")</f>
        <v/>
      </c>
      <c r="W25">
        <f>HYPERLINK("https://klasma.github.io/Logging_1860/klagomålsmail/A 15371-2025 FSC-klagomål mail.docx", "A 15371-2025")</f>
        <v/>
      </c>
      <c r="X25">
        <f>HYPERLINK("https://klasma.github.io/Logging_1860/tillsyn/A 15371-2025 tillsynsbegäran.docx", "A 15371-2025")</f>
        <v/>
      </c>
      <c r="Y25">
        <f>HYPERLINK("https://klasma.github.io/Logging_1860/tillsynsmail/A 15371-2025 tillsynsbegäran mail.docx", "A 15371-2025")</f>
        <v/>
      </c>
    </row>
    <row r="26" ht="15" customHeight="1">
      <c r="A26" t="inlineStr">
        <is>
          <t>A 23237-2025</t>
        </is>
      </c>
      <c r="B26" s="1" t="n">
        <v>45791.49608796297</v>
      </c>
      <c r="C26" s="1" t="n">
        <v>46063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Fjällig taggsvamp s.str.</t>
        </is>
      </c>
      <c r="S26">
        <f>HYPERLINK("https://klasma.github.io/Logging_1860/artfynd/A 23237-2025 artfynd.xlsx", "A 23237-2025")</f>
        <v/>
      </c>
      <c r="T26">
        <f>HYPERLINK("https://klasma.github.io/Logging_1860/kartor/A 23237-2025 karta.png", "A 23237-2025")</f>
        <v/>
      </c>
      <c r="V26">
        <f>HYPERLINK("https://klasma.github.io/Logging_1860/klagomål/A 23237-2025 FSC-klagomål.docx", "A 23237-2025")</f>
        <v/>
      </c>
      <c r="W26">
        <f>HYPERLINK("https://klasma.github.io/Logging_1860/klagomålsmail/A 23237-2025 FSC-klagomål mail.docx", "A 23237-2025")</f>
        <v/>
      </c>
      <c r="X26">
        <f>HYPERLINK("https://klasma.github.io/Logging_1860/tillsyn/A 23237-2025 tillsynsbegäran.docx", "A 23237-2025")</f>
        <v/>
      </c>
      <c r="Y26">
        <f>HYPERLINK("https://klasma.github.io/Logging_1860/tillsynsmail/A 23237-2025 tillsynsbegäran mail.docx", "A 23237-2025")</f>
        <v/>
      </c>
    </row>
    <row r="27" ht="15" customHeight="1">
      <c r="A27" t="inlineStr">
        <is>
          <t>A 43742-2022</t>
        </is>
      </c>
      <c r="B27" s="1" t="n">
        <v>44837</v>
      </c>
      <c r="C27" s="1" t="n">
        <v>46063</v>
      </c>
      <c r="D27" t="inlineStr">
        <is>
          <t>ÖREBRO LÄN</t>
        </is>
      </c>
      <c r="E27" t="inlineStr">
        <is>
          <t>LAXÅ</t>
        </is>
      </c>
      <c r="G27" t="n">
        <v>16.8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HYPERLINK("https://klasma.github.io/Logging_1860/artfynd/A 43742-2022 artfynd.xlsx", "A 43742-2022")</f>
        <v/>
      </c>
      <c r="T27">
        <f>HYPERLINK("https://klasma.github.io/Logging_1860/kartor/A 43742-2022 karta.png", "A 43742-2022")</f>
        <v/>
      </c>
      <c r="V27">
        <f>HYPERLINK("https://klasma.github.io/Logging_1860/klagomål/A 43742-2022 FSC-klagomål.docx", "A 43742-2022")</f>
        <v/>
      </c>
      <c r="W27">
        <f>HYPERLINK("https://klasma.github.io/Logging_1860/klagomålsmail/A 43742-2022 FSC-klagomål mail.docx", "A 43742-2022")</f>
        <v/>
      </c>
      <c r="X27">
        <f>HYPERLINK("https://klasma.github.io/Logging_1860/tillsyn/A 43742-2022 tillsynsbegäran.docx", "A 43742-2022")</f>
        <v/>
      </c>
      <c r="Y27">
        <f>HYPERLINK("https://klasma.github.io/Logging_1860/tillsynsmail/A 43742-2022 tillsynsbegäran mail.docx", "A 43742-2022")</f>
        <v/>
      </c>
    </row>
    <row r="28" ht="15" customHeight="1">
      <c r="A28" t="inlineStr">
        <is>
          <t>A 50765-2022</t>
        </is>
      </c>
      <c r="B28" s="1" t="n">
        <v>44867.42446759259</v>
      </c>
      <c r="C28" s="1" t="n">
        <v>46063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HYPERLINK("https://klasma.github.io/Logging_1860/artfynd/A 50765-2022 artfynd.xlsx", "A 50765-2022")</f>
        <v/>
      </c>
      <c r="T28">
        <f>HYPERLINK("https://klasma.github.io/Logging_1860/kartor/A 50765-2022 karta.png", "A 50765-2022")</f>
        <v/>
      </c>
      <c r="V28">
        <f>HYPERLINK("https://klasma.github.io/Logging_1860/klagomål/A 50765-2022 FSC-klagomål.docx", "A 50765-2022")</f>
        <v/>
      </c>
      <c r="W28">
        <f>HYPERLINK("https://klasma.github.io/Logging_1860/klagomålsmail/A 50765-2022 FSC-klagomål mail.docx", "A 50765-2022")</f>
        <v/>
      </c>
      <c r="X28">
        <f>HYPERLINK("https://klasma.github.io/Logging_1860/tillsyn/A 50765-2022 tillsynsbegäran.docx", "A 50765-2022")</f>
        <v/>
      </c>
      <c r="Y28">
        <f>HYPERLINK("https://klasma.github.io/Logging_1860/tillsynsmail/A 50765-2022 tillsynsbegäran mail.docx", "A 50765-2022")</f>
        <v/>
      </c>
    </row>
    <row r="29" ht="15" customHeight="1">
      <c r="A29" t="inlineStr">
        <is>
          <t>A 34371-2025</t>
        </is>
      </c>
      <c r="B29" s="1" t="n">
        <v>45846.51239583334</v>
      </c>
      <c r="C29" s="1" t="n">
        <v>46063</v>
      </c>
      <c r="D29" t="inlineStr">
        <is>
          <t>ÖREBRO LÄN</t>
        </is>
      </c>
      <c r="E29" t="inlineStr">
        <is>
          <t>LAXÅ</t>
        </is>
      </c>
      <c r="F29" t="inlineStr">
        <is>
          <t>Allmännings- och besparingsskogar</t>
        </is>
      </c>
      <c r="G29" t="n">
        <v>7.8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34371-2025 artfynd.xlsx", "A 34371-2025")</f>
        <v/>
      </c>
      <c r="T29">
        <f>HYPERLINK("https://klasma.github.io/Logging_1860/kartor/A 34371-2025 karta.png", "A 34371-2025")</f>
        <v/>
      </c>
      <c r="V29">
        <f>HYPERLINK("https://klasma.github.io/Logging_1860/klagomål/A 34371-2025 FSC-klagomål.docx", "A 34371-2025")</f>
        <v/>
      </c>
      <c r="W29">
        <f>HYPERLINK("https://klasma.github.io/Logging_1860/klagomålsmail/A 34371-2025 FSC-klagomål mail.docx", "A 34371-2025")</f>
        <v/>
      </c>
      <c r="X29">
        <f>HYPERLINK("https://klasma.github.io/Logging_1860/tillsyn/A 34371-2025 tillsynsbegäran.docx", "A 34371-2025")</f>
        <v/>
      </c>
      <c r="Y29">
        <f>HYPERLINK("https://klasma.github.io/Logging_1860/tillsynsmail/A 34371-2025 tillsynsbegäran mail.docx", "A 34371-2025")</f>
        <v/>
      </c>
    </row>
    <row r="30" ht="15" customHeight="1">
      <c r="A30" t="inlineStr">
        <is>
          <t>A 36694-2025</t>
        </is>
      </c>
      <c r="B30" s="1" t="n">
        <v>45873.43710648148</v>
      </c>
      <c r="C30" s="1" t="n">
        <v>46063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HYPERLINK("https://klasma.github.io/Logging_1860/artfynd/A 36694-2025 artfynd.xlsx", "A 36694-2025")</f>
        <v/>
      </c>
      <c r="T30">
        <f>HYPERLINK("https://klasma.github.io/Logging_1860/kartor/A 36694-2025 karta.png", "A 36694-2025")</f>
        <v/>
      </c>
      <c r="V30">
        <f>HYPERLINK("https://klasma.github.io/Logging_1860/klagomål/A 36694-2025 FSC-klagomål.docx", "A 36694-2025")</f>
        <v/>
      </c>
      <c r="W30">
        <f>HYPERLINK("https://klasma.github.io/Logging_1860/klagomålsmail/A 36694-2025 FSC-klagomål mail.docx", "A 36694-2025")</f>
        <v/>
      </c>
      <c r="X30">
        <f>HYPERLINK("https://klasma.github.io/Logging_1860/tillsyn/A 36694-2025 tillsynsbegäran.docx", "A 36694-2025")</f>
        <v/>
      </c>
      <c r="Y30">
        <f>HYPERLINK("https://klasma.github.io/Logging_1860/tillsynsmail/A 36694-2025 tillsynsbegäran mail.docx", "A 36694-2025")</f>
        <v/>
      </c>
      <c r="Z30">
        <f>HYPERLINK("https://klasma.github.io/Logging_1860/fåglar/A 36694-2025 prioriterade fågelarter.docx", "A 36694-2025")</f>
        <v/>
      </c>
    </row>
    <row r="31" ht="15" customHeight="1">
      <c r="A31" t="inlineStr">
        <is>
          <t>A 10622-2023</t>
        </is>
      </c>
      <c r="B31" s="1" t="n">
        <v>44988</v>
      </c>
      <c r="C31" s="1" t="n">
        <v>46063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HYPERLINK("https://klasma.github.io/Logging_1860/artfynd/A 10622-2023 artfynd.xlsx", "A 10622-2023")</f>
        <v/>
      </c>
      <c r="T31">
        <f>HYPERLINK("https://klasma.github.io/Logging_1860/kartor/A 10622-2023 karta.png", "A 10622-2023")</f>
        <v/>
      </c>
      <c r="V31">
        <f>HYPERLINK("https://klasma.github.io/Logging_1860/klagomål/A 10622-2023 FSC-klagomål.docx", "A 10622-2023")</f>
        <v/>
      </c>
      <c r="W31">
        <f>HYPERLINK("https://klasma.github.io/Logging_1860/klagomålsmail/A 10622-2023 FSC-klagomål mail.docx", "A 10622-2023")</f>
        <v/>
      </c>
      <c r="X31">
        <f>HYPERLINK("https://klasma.github.io/Logging_1860/tillsyn/A 10622-2023 tillsynsbegäran.docx", "A 10622-2023")</f>
        <v/>
      </c>
      <c r="Y31">
        <f>HYPERLINK("https://klasma.github.io/Logging_1860/tillsynsmail/A 10622-2023 tillsynsbegäran mail.docx", "A 10622-2023")</f>
        <v/>
      </c>
    </row>
    <row r="32" ht="15" customHeight="1">
      <c r="A32" t="inlineStr">
        <is>
          <t>A 34285-2024</t>
        </is>
      </c>
      <c r="B32" s="1" t="n">
        <v>45524</v>
      </c>
      <c r="C32" s="1" t="n">
        <v>46063</v>
      </c>
      <c r="D32" t="inlineStr">
        <is>
          <t>ÖREBRO LÄN</t>
        </is>
      </c>
      <c r="E32" t="inlineStr">
        <is>
          <t>LAXÅ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HYPERLINK("https://klasma.github.io/Logging_1860/artfynd/A 34285-2024 artfynd.xlsx", "A 34285-2024")</f>
        <v/>
      </c>
      <c r="T32">
        <f>HYPERLINK("https://klasma.github.io/Logging_1860/kartor/A 34285-2024 karta.png", "A 34285-2024")</f>
        <v/>
      </c>
      <c r="V32">
        <f>HYPERLINK("https://klasma.github.io/Logging_1860/klagomål/A 34285-2024 FSC-klagomål.docx", "A 34285-2024")</f>
        <v/>
      </c>
      <c r="W32">
        <f>HYPERLINK("https://klasma.github.io/Logging_1860/klagomålsmail/A 34285-2024 FSC-klagomål mail.docx", "A 34285-2024")</f>
        <v/>
      </c>
      <c r="X32">
        <f>HYPERLINK("https://klasma.github.io/Logging_1860/tillsyn/A 34285-2024 tillsynsbegäran.docx", "A 34285-2024")</f>
        <v/>
      </c>
      <c r="Y32">
        <f>HYPERLINK("https://klasma.github.io/Logging_1860/tillsynsmail/A 34285-2024 tillsynsbegäran mail.docx", "A 34285-2024")</f>
        <v/>
      </c>
    </row>
    <row r="33" ht="15" customHeight="1">
      <c r="A33" t="inlineStr">
        <is>
          <t>A 55120-2025</t>
        </is>
      </c>
      <c r="B33" s="1" t="n">
        <v>45968.39071759259</v>
      </c>
      <c r="C33" s="1" t="n">
        <v>46063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HYPERLINK("https://klasma.github.io/Logging_1860/artfynd/A 55120-2025 artfynd.xlsx", "A 55120-2025")</f>
        <v/>
      </c>
      <c r="T33">
        <f>HYPERLINK("https://klasma.github.io/Logging_1860/kartor/A 55120-2025 karta.png", "A 55120-2025")</f>
        <v/>
      </c>
      <c r="V33">
        <f>HYPERLINK("https://klasma.github.io/Logging_1860/klagomål/A 55120-2025 FSC-klagomål.docx", "A 55120-2025")</f>
        <v/>
      </c>
      <c r="W33">
        <f>HYPERLINK("https://klasma.github.io/Logging_1860/klagomålsmail/A 55120-2025 FSC-klagomål mail.docx", "A 55120-2025")</f>
        <v/>
      </c>
      <c r="X33">
        <f>HYPERLINK("https://klasma.github.io/Logging_1860/tillsyn/A 55120-2025 tillsynsbegäran.docx", "A 55120-2025")</f>
        <v/>
      </c>
      <c r="Y33">
        <f>HYPERLINK("https://klasma.github.io/Logging_1860/tillsynsmail/A 55120-2025 tillsynsbegäran mail.docx", "A 55120-2025")</f>
        <v/>
      </c>
    </row>
    <row r="34" ht="15" customHeight="1">
      <c r="A34" t="inlineStr">
        <is>
          <t>A 57761-2025</t>
        </is>
      </c>
      <c r="B34" s="1" t="n">
        <v>45981.55387731481</v>
      </c>
      <c r="C34" s="1" t="n">
        <v>46063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HYPERLINK("https://klasma.github.io/Logging_1860/artfynd/A 57761-2025 artfynd.xlsx", "A 57761-2025")</f>
        <v/>
      </c>
      <c r="T34">
        <f>HYPERLINK("https://klasma.github.io/Logging_1860/kartor/A 57761-2025 karta.png", "A 57761-2025")</f>
        <v/>
      </c>
      <c r="V34">
        <f>HYPERLINK("https://klasma.github.io/Logging_1860/klagomål/A 57761-2025 FSC-klagomål.docx", "A 57761-2025")</f>
        <v/>
      </c>
      <c r="W34">
        <f>HYPERLINK("https://klasma.github.io/Logging_1860/klagomålsmail/A 57761-2025 FSC-klagomål mail.docx", "A 57761-2025")</f>
        <v/>
      </c>
      <c r="X34">
        <f>HYPERLINK("https://klasma.github.io/Logging_1860/tillsyn/A 57761-2025 tillsynsbegäran.docx", "A 57761-2025")</f>
        <v/>
      </c>
      <c r="Y34">
        <f>HYPERLINK("https://klasma.github.io/Logging_1860/tillsynsmail/A 57761-2025 tillsynsbegäran mail.docx", "A 57761-2025")</f>
        <v/>
      </c>
    </row>
    <row r="35" ht="15" customHeight="1">
      <c r="A35" t="inlineStr">
        <is>
          <t>A 57757-2025</t>
        </is>
      </c>
      <c r="B35" s="1" t="n">
        <v>45981.55150462963</v>
      </c>
      <c r="C35" s="1" t="n">
        <v>46063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HYPERLINK("https://klasma.github.io/Logging_1860/artfynd/A 57757-2025 artfynd.xlsx", "A 57757-2025")</f>
        <v/>
      </c>
      <c r="T35">
        <f>HYPERLINK("https://klasma.github.io/Logging_1860/kartor/A 57757-2025 karta.png", "A 57757-2025")</f>
        <v/>
      </c>
      <c r="V35">
        <f>HYPERLINK("https://klasma.github.io/Logging_1860/klagomål/A 57757-2025 FSC-klagomål.docx", "A 57757-2025")</f>
        <v/>
      </c>
      <c r="W35">
        <f>HYPERLINK("https://klasma.github.io/Logging_1860/klagomålsmail/A 57757-2025 FSC-klagomål mail.docx", "A 57757-2025")</f>
        <v/>
      </c>
      <c r="X35">
        <f>HYPERLINK("https://klasma.github.io/Logging_1860/tillsyn/A 57757-2025 tillsynsbegäran.docx", "A 57757-2025")</f>
        <v/>
      </c>
      <c r="Y35">
        <f>HYPERLINK("https://klasma.github.io/Logging_1860/tillsynsmail/A 57757-2025 tillsynsbegäran mail.docx", "A 57757-2025")</f>
        <v/>
      </c>
    </row>
    <row r="36" ht="15" customHeight="1">
      <c r="A36" t="inlineStr">
        <is>
          <t>A 8532-2025</t>
        </is>
      </c>
      <c r="B36" s="1" t="n">
        <v>45709</v>
      </c>
      <c r="C36" s="1" t="n">
        <v>46063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HYPERLINK("https://klasma.github.io/Logging_1860/artfynd/A 8532-2025 artfynd.xlsx", "A 8532-2025")</f>
        <v/>
      </c>
      <c r="T36">
        <f>HYPERLINK("https://klasma.github.io/Logging_1860/kartor/A 8532-2025 karta.png", "A 8532-2025")</f>
        <v/>
      </c>
      <c r="V36">
        <f>HYPERLINK("https://klasma.github.io/Logging_1860/klagomål/A 8532-2025 FSC-klagomål.docx", "A 8532-2025")</f>
        <v/>
      </c>
      <c r="W36">
        <f>HYPERLINK("https://klasma.github.io/Logging_1860/klagomålsmail/A 8532-2025 FSC-klagomål mail.docx", "A 8532-2025")</f>
        <v/>
      </c>
      <c r="X36">
        <f>HYPERLINK("https://klasma.github.io/Logging_1860/tillsyn/A 8532-2025 tillsynsbegäran.docx", "A 8532-2025")</f>
        <v/>
      </c>
      <c r="Y36">
        <f>HYPERLINK("https://klasma.github.io/Logging_1860/tillsynsmail/A 8532-2025 tillsynsbegäran mail.docx", "A 8532-2025")</f>
        <v/>
      </c>
    </row>
    <row r="37" ht="15" customHeight="1">
      <c r="A37" t="inlineStr">
        <is>
          <t>A 61528-2025</t>
        </is>
      </c>
      <c r="B37" s="1" t="n">
        <v>46001.70148148148</v>
      </c>
      <c r="C37" s="1" t="n">
        <v>46063</v>
      </c>
      <c r="D37" t="inlineStr">
        <is>
          <t>ÖREBRO LÄN</t>
        </is>
      </c>
      <c r="E37" t="inlineStr">
        <is>
          <t>LAXÅ</t>
        </is>
      </c>
      <c r="F37" t="inlineStr">
        <is>
          <t>Allmännings- och besparingsskogar</t>
        </is>
      </c>
      <c r="G37" t="n">
        <v>3.9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HYPERLINK("https://klasma.github.io/Logging_1860/artfynd/A 61528-2025 artfynd.xlsx", "A 61528-2025")</f>
        <v/>
      </c>
      <c r="T37">
        <f>HYPERLINK("https://klasma.github.io/Logging_1860/kartor/A 61528-2025 karta.png", "A 61528-2025")</f>
        <v/>
      </c>
      <c r="V37">
        <f>HYPERLINK("https://klasma.github.io/Logging_1860/klagomål/A 61528-2025 FSC-klagomål.docx", "A 61528-2025")</f>
        <v/>
      </c>
      <c r="W37">
        <f>HYPERLINK("https://klasma.github.io/Logging_1860/klagomålsmail/A 61528-2025 FSC-klagomål mail.docx", "A 61528-2025")</f>
        <v/>
      </c>
      <c r="X37">
        <f>HYPERLINK("https://klasma.github.io/Logging_1860/tillsyn/A 61528-2025 tillsynsbegäran.docx", "A 61528-2025")</f>
        <v/>
      </c>
      <c r="Y37">
        <f>HYPERLINK("https://klasma.github.io/Logging_1860/tillsynsmail/A 61528-2025 tillsynsbegäran mail.docx", "A 61528-2025")</f>
        <v/>
      </c>
      <c r="Z37">
        <f>HYPERLINK("https://klasma.github.io/Logging_1860/fåglar/A 61528-2025 prioriterade fågelarter.docx", "A 61528-2025")</f>
        <v/>
      </c>
    </row>
    <row r="38" ht="15" customHeight="1">
      <c r="A38" t="inlineStr">
        <is>
          <t>A 54713-2023</t>
        </is>
      </c>
      <c r="B38" s="1" t="n">
        <v>45236</v>
      </c>
      <c r="C38" s="1" t="n">
        <v>46063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HYPERLINK("https://klasma.github.io/Logging_1860/artfynd/A 54713-2023 artfynd.xlsx", "A 54713-2023")</f>
        <v/>
      </c>
      <c r="T38">
        <f>HYPERLINK("https://klasma.github.io/Logging_1860/kartor/A 54713-2023 karta.png", "A 54713-2023")</f>
        <v/>
      </c>
      <c r="V38">
        <f>HYPERLINK("https://klasma.github.io/Logging_1860/klagomål/A 54713-2023 FSC-klagomål.docx", "A 54713-2023")</f>
        <v/>
      </c>
      <c r="W38">
        <f>HYPERLINK("https://klasma.github.io/Logging_1860/klagomålsmail/A 54713-2023 FSC-klagomål mail.docx", "A 54713-2023")</f>
        <v/>
      </c>
      <c r="X38">
        <f>HYPERLINK("https://klasma.github.io/Logging_1860/tillsyn/A 54713-2023 tillsynsbegäran.docx", "A 54713-2023")</f>
        <v/>
      </c>
      <c r="Y38">
        <f>HYPERLINK("https://klasma.github.io/Logging_1860/tillsynsmail/A 54713-2023 tillsynsbegäran mail.docx", "A 54713-2023")</f>
        <v/>
      </c>
      <c r="Z38">
        <f>HYPERLINK("https://klasma.github.io/Logging_1860/fåglar/A 54713-2023 prioriterade fågelarter.docx", "A 54713-2023")</f>
        <v/>
      </c>
    </row>
    <row r="39" ht="15" customHeight="1">
      <c r="A39" t="inlineStr">
        <is>
          <t>A 54715-2023</t>
        </is>
      </c>
      <c r="B39" s="1" t="n">
        <v>45236</v>
      </c>
      <c r="C39" s="1" t="n">
        <v>46063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HYPERLINK("https://klasma.github.io/Logging_1860/artfynd/A 54715-2023 artfynd.xlsx", "A 54715-2023")</f>
        <v/>
      </c>
      <c r="T39">
        <f>HYPERLINK("https://klasma.github.io/Logging_1860/kartor/A 54715-2023 karta.png", "A 54715-2023")</f>
        <v/>
      </c>
      <c r="V39">
        <f>HYPERLINK("https://klasma.github.io/Logging_1860/klagomål/A 54715-2023 FSC-klagomål.docx", "A 54715-2023")</f>
        <v/>
      </c>
      <c r="W39">
        <f>HYPERLINK("https://klasma.github.io/Logging_1860/klagomålsmail/A 54715-2023 FSC-klagomål mail.docx", "A 54715-2023")</f>
        <v/>
      </c>
      <c r="X39">
        <f>HYPERLINK("https://klasma.github.io/Logging_1860/tillsyn/A 54715-2023 tillsynsbegäran.docx", "A 54715-2023")</f>
        <v/>
      </c>
      <c r="Y39">
        <f>HYPERLINK("https://klasma.github.io/Logging_1860/tillsynsmail/A 54715-2023 tillsynsbegäran mail.docx", "A 54715-2023")</f>
        <v/>
      </c>
      <c r="Z39">
        <f>HYPERLINK("https://klasma.github.io/Logging_1860/fåglar/A 54715-2023 prioriterade fågelarter.docx", "A 54715-2023")</f>
        <v/>
      </c>
    </row>
    <row r="40" ht="15" customHeight="1">
      <c r="A40" t="inlineStr">
        <is>
          <t>A 50754-2022</t>
        </is>
      </c>
      <c r="B40" s="1" t="n">
        <v>44867.41003472222</v>
      </c>
      <c r="C40" s="1" t="n">
        <v>46063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3.4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HYPERLINK("https://klasma.github.io/Logging_1860/artfynd/A 50754-2022 artfynd.xlsx", "A 50754-2022")</f>
        <v/>
      </c>
      <c r="T40">
        <f>HYPERLINK("https://klasma.github.io/Logging_1860/kartor/A 50754-2022 karta.png", "A 50754-2022")</f>
        <v/>
      </c>
      <c r="V40">
        <f>HYPERLINK("https://klasma.github.io/Logging_1860/klagomål/A 50754-2022 FSC-klagomål.docx", "A 50754-2022")</f>
        <v/>
      </c>
      <c r="W40">
        <f>HYPERLINK("https://klasma.github.io/Logging_1860/klagomålsmail/A 50754-2022 FSC-klagomål mail.docx", "A 50754-2022")</f>
        <v/>
      </c>
      <c r="X40">
        <f>HYPERLINK("https://klasma.github.io/Logging_1860/tillsyn/A 50754-2022 tillsynsbegäran.docx", "A 50754-2022")</f>
        <v/>
      </c>
      <c r="Y40">
        <f>HYPERLINK("https://klasma.github.io/Logging_1860/tillsynsmail/A 50754-2022 tillsynsbegäran mail.docx", "A 50754-2022")</f>
        <v/>
      </c>
      <c r="Z40">
        <f>HYPERLINK("https://klasma.github.io/Logging_1860/fåglar/A 50754-2022 prioriterade fågelarter.docx", "A 50754-2022")</f>
        <v/>
      </c>
    </row>
    <row r="41" ht="15" customHeight="1">
      <c r="A41" t="inlineStr">
        <is>
          <t>A 35540-2023</t>
        </is>
      </c>
      <c r="B41" s="1" t="n">
        <v>45147</v>
      </c>
      <c r="C41" s="1" t="n">
        <v>46063</v>
      </c>
      <c r="D41" t="inlineStr">
        <is>
          <t>ÖREBRO LÄN</t>
        </is>
      </c>
      <c r="E41" t="inlineStr">
        <is>
          <t>LAXÅ</t>
        </is>
      </c>
      <c r="G41" t="n">
        <v>6.4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HYPERLINK("https://klasma.github.io/Logging_1860/artfynd/A 35540-2023 artfynd.xlsx", "A 35540-2023")</f>
        <v/>
      </c>
      <c r="T41">
        <f>HYPERLINK("https://klasma.github.io/Logging_1860/kartor/A 35540-2023 karta.png", "A 35540-2023")</f>
        <v/>
      </c>
      <c r="V41">
        <f>HYPERLINK("https://klasma.github.io/Logging_1860/klagomål/A 35540-2023 FSC-klagomål.docx", "A 35540-2023")</f>
        <v/>
      </c>
      <c r="W41">
        <f>HYPERLINK("https://klasma.github.io/Logging_1860/klagomålsmail/A 35540-2023 FSC-klagomål mail.docx", "A 35540-2023")</f>
        <v/>
      </c>
      <c r="X41">
        <f>HYPERLINK("https://klasma.github.io/Logging_1860/tillsyn/A 35540-2023 tillsynsbegäran.docx", "A 35540-2023")</f>
        <v/>
      </c>
      <c r="Y41">
        <f>HYPERLINK("https://klasma.github.io/Logging_1860/tillsynsmail/A 35540-2023 tillsynsbegäran mail.docx", "A 35540-2023")</f>
        <v/>
      </c>
    </row>
    <row r="42" ht="15" customHeight="1">
      <c r="A42" t="inlineStr">
        <is>
          <t>A 59657-2022</t>
        </is>
      </c>
      <c r="B42" s="1" t="n">
        <v>44908.25326388889</v>
      </c>
      <c r="C42" s="1" t="n">
        <v>46063</v>
      </c>
      <c r="D42" t="inlineStr">
        <is>
          <t>ÖREBRO LÄN</t>
        </is>
      </c>
      <c r="E42" t="inlineStr">
        <is>
          <t>LAXÅ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HYPERLINK("https://klasma.github.io/Logging_1860/artfynd/A 59657-2022 artfynd.xlsx", "A 59657-2022")</f>
        <v/>
      </c>
      <c r="T42">
        <f>HYPERLINK("https://klasma.github.io/Logging_1860/kartor/A 59657-2022 karta.png", "A 59657-2022")</f>
        <v/>
      </c>
      <c r="V42">
        <f>HYPERLINK("https://klasma.github.io/Logging_1860/klagomål/A 59657-2022 FSC-klagomål.docx", "A 59657-2022")</f>
        <v/>
      </c>
      <c r="W42">
        <f>HYPERLINK("https://klasma.github.io/Logging_1860/klagomålsmail/A 59657-2022 FSC-klagomål mail.docx", "A 59657-2022")</f>
        <v/>
      </c>
      <c r="X42">
        <f>HYPERLINK("https://klasma.github.io/Logging_1860/tillsyn/A 59657-2022 tillsynsbegäran.docx", "A 59657-2022")</f>
        <v/>
      </c>
      <c r="Y42">
        <f>HYPERLINK("https://klasma.github.io/Logging_1860/tillsynsmail/A 59657-2022 tillsynsbegäran mail.docx", "A 59657-2022")</f>
        <v/>
      </c>
    </row>
    <row r="43" ht="15" customHeight="1">
      <c r="A43" t="inlineStr">
        <is>
          <t>A 60949-2023</t>
        </is>
      </c>
      <c r="B43" s="1" t="n">
        <v>45259</v>
      </c>
      <c r="C43" s="1" t="n">
        <v>46063</v>
      </c>
      <c r="D43" t="inlineStr">
        <is>
          <t>ÖREBRO LÄN</t>
        </is>
      </c>
      <c r="E43" t="inlineStr">
        <is>
          <t>LAXÅ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HYPERLINK("https://klasma.github.io/Logging_1860/artfynd/A 60949-2023 artfynd.xlsx", "A 60949-2023")</f>
        <v/>
      </c>
      <c r="T43">
        <f>HYPERLINK("https://klasma.github.io/Logging_1860/kartor/A 60949-2023 karta.png", "A 60949-2023")</f>
        <v/>
      </c>
      <c r="V43">
        <f>HYPERLINK("https://klasma.github.io/Logging_1860/klagomål/A 60949-2023 FSC-klagomål.docx", "A 60949-2023")</f>
        <v/>
      </c>
      <c r="W43">
        <f>HYPERLINK("https://klasma.github.io/Logging_1860/klagomålsmail/A 60949-2023 FSC-klagomål mail.docx", "A 60949-2023")</f>
        <v/>
      </c>
      <c r="X43">
        <f>HYPERLINK("https://klasma.github.io/Logging_1860/tillsyn/A 60949-2023 tillsynsbegäran.docx", "A 60949-2023")</f>
        <v/>
      </c>
      <c r="Y43">
        <f>HYPERLINK("https://klasma.github.io/Logging_1860/tillsynsmail/A 60949-2023 tillsynsbegäran mail.docx", "A 60949-2023")</f>
        <v/>
      </c>
    </row>
    <row r="44" ht="15" customHeight="1">
      <c r="A44" t="inlineStr">
        <is>
          <t>A 50772-2022</t>
        </is>
      </c>
      <c r="B44" s="1" t="n">
        <v>44867.42917824074</v>
      </c>
      <c r="C44" s="1" t="n">
        <v>46063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21539-2021</t>
        </is>
      </c>
      <c r="B45" s="1" t="n">
        <v>44321.59518518519</v>
      </c>
      <c r="C45" s="1" t="n">
        <v>46063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22964-2021</t>
        </is>
      </c>
      <c r="B46" s="1" t="n">
        <v>44328</v>
      </c>
      <c r="C46" s="1" t="n">
        <v>46063</v>
      </c>
      <c r="D46" t="inlineStr">
        <is>
          <t>ÖREBRO LÄN</t>
        </is>
      </c>
      <c r="E46" t="inlineStr">
        <is>
          <t>LAXÅ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40980-2021</t>
        </is>
      </c>
      <c r="B47" s="1" t="n">
        <v>44421.6018287037</v>
      </c>
      <c r="C47" s="1" t="n">
        <v>46063</v>
      </c>
      <c r="D47" t="inlineStr">
        <is>
          <t>ÖREBRO LÄN</t>
        </is>
      </c>
      <c r="E47" t="inlineStr">
        <is>
          <t>LAXÅ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29560-2021</t>
        </is>
      </c>
      <c r="B48" s="1" t="n">
        <v>44361.89840277778</v>
      </c>
      <c r="C48" s="1" t="n">
        <v>46063</v>
      </c>
      <c r="D48" t="inlineStr">
        <is>
          <t>ÖREBRO LÄN</t>
        </is>
      </c>
      <c r="E48" t="inlineStr">
        <is>
          <t>LAXÅ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5441-2022</t>
        </is>
      </c>
      <c r="B49" s="1" t="n">
        <v>44595</v>
      </c>
      <c r="C49" s="1" t="n">
        <v>46063</v>
      </c>
      <c r="D49" t="inlineStr">
        <is>
          <t>ÖREBRO LÄN</t>
        </is>
      </c>
      <c r="E49" t="inlineStr">
        <is>
          <t>LAXÅ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17078-2021</t>
        </is>
      </c>
      <c r="B50" s="1" t="n">
        <v>44297.74986111111</v>
      </c>
      <c r="C50" s="1" t="n">
        <v>46063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34137-2021</t>
        </is>
      </c>
      <c r="B51" s="1" t="n">
        <v>44379</v>
      </c>
      <c r="C51" s="1" t="n">
        <v>46063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17077-2021</t>
        </is>
      </c>
      <c r="B52" s="1" t="n">
        <v>44297</v>
      </c>
      <c r="C52" s="1" t="n">
        <v>46063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21771-2021</t>
        </is>
      </c>
      <c r="B53" s="1" t="n">
        <v>44322</v>
      </c>
      <c r="C53" s="1" t="n">
        <v>46063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42185-2021</t>
        </is>
      </c>
      <c r="B54" s="1" t="n">
        <v>44426</v>
      </c>
      <c r="C54" s="1" t="n">
        <v>46063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42189-2021</t>
        </is>
      </c>
      <c r="B55" s="1" t="n">
        <v>44426</v>
      </c>
      <c r="C55" s="1" t="n">
        <v>46063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36346-2022</t>
        </is>
      </c>
      <c r="B56" s="1" t="n">
        <v>44803.81030092593</v>
      </c>
      <c r="C56" s="1" t="n">
        <v>46063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36349-2022</t>
        </is>
      </c>
      <c r="B57" s="1" t="n">
        <v>44803</v>
      </c>
      <c r="C57" s="1" t="n">
        <v>46063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36351-2022</t>
        </is>
      </c>
      <c r="B58" s="1" t="n">
        <v>44803</v>
      </c>
      <c r="C58" s="1" t="n">
        <v>46063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9665-2022</t>
        </is>
      </c>
      <c r="B59" s="1" t="n">
        <v>44617.62023148148</v>
      </c>
      <c r="C59" s="1" t="n">
        <v>46063</v>
      </c>
      <c r="D59" t="inlineStr">
        <is>
          <t>ÖREBRO LÄN</t>
        </is>
      </c>
      <c r="E59" t="inlineStr">
        <is>
          <t>LAXÅ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59907-2021</t>
        </is>
      </c>
      <c r="B60" s="1" t="n">
        <v>44494</v>
      </c>
      <c r="C60" s="1" t="n">
        <v>46063</v>
      </c>
      <c r="D60" t="inlineStr">
        <is>
          <t>ÖREBRO LÄN</t>
        </is>
      </c>
      <c r="E60" t="inlineStr">
        <is>
          <t>LAXÅ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28119-2022</t>
        </is>
      </c>
      <c r="B61" s="1" t="n">
        <v>44746</v>
      </c>
      <c r="C61" s="1" t="n">
        <v>46063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1104-2022</t>
        </is>
      </c>
      <c r="B62" s="1" t="n">
        <v>44571</v>
      </c>
      <c r="C62" s="1" t="n">
        <v>46063</v>
      </c>
      <c r="D62" t="inlineStr">
        <is>
          <t>ÖREBRO LÄN</t>
        </is>
      </c>
      <c r="E62" t="inlineStr">
        <is>
          <t>LAXÅ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34158-2021</t>
        </is>
      </c>
      <c r="B63" s="1" t="n">
        <v>44379</v>
      </c>
      <c r="C63" s="1" t="n">
        <v>46063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40960-2022</t>
        </is>
      </c>
      <c r="B64" s="1" t="n">
        <v>44825</v>
      </c>
      <c r="C64" s="1" t="n">
        <v>46063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34082-2021</t>
        </is>
      </c>
      <c r="B65" s="1" t="n">
        <v>44379.41850694444</v>
      </c>
      <c r="C65" s="1" t="n">
        <v>46063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57956-2021</t>
        </is>
      </c>
      <c r="B66" s="1" t="n">
        <v>44484</v>
      </c>
      <c r="C66" s="1" t="n">
        <v>46063</v>
      </c>
      <c r="D66" t="inlineStr">
        <is>
          <t>ÖREBRO LÄN</t>
        </is>
      </c>
      <c r="E66" t="inlineStr">
        <is>
          <t>LAXÅ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38539-2022</t>
        </is>
      </c>
      <c r="B67" s="1" t="n">
        <v>44813</v>
      </c>
      <c r="C67" s="1" t="n">
        <v>46063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68356-2021</t>
        </is>
      </c>
      <c r="B68" s="1" t="n">
        <v>44528</v>
      </c>
      <c r="C68" s="1" t="n">
        <v>46063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15770-2021</t>
        </is>
      </c>
      <c r="B69" s="1" t="n">
        <v>44286</v>
      </c>
      <c r="C69" s="1" t="n">
        <v>46063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50543-2021</t>
        </is>
      </c>
      <c r="B70" s="1" t="n">
        <v>44459</v>
      </c>
      <c r="C70" s="1" t="n">
        <v>46063</v>
      </c>
      <c r="D70" t="inlineStr">
        <is>
          <t>ÖREBRO LÄN</t>
        </is>
      </c>
      <c r="E70" t="inlineStr">
        <is>
          <t>LAXÅ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22804-2021</t>
        </is>
      </c>
      <c r="B71" s="1" t="n">
        <v>44328</v>
      </c>
      <c r="C71" s="1" t="n">
        <v>46063</v>
      </c>
      <c r="D71" t="inlineStr">
        <is>
          <t>ÖREBRO LÄN</t>
        </is>
      </c>
      <c r="E71" t="inlineStr">
        <is>
          <t>LAXÅ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22970-2021</t>
        </is>
      </c>
      <c r="B72" s="1" t="n">
        <v>44328</v>
      </c>
      <c r="C72" s="1" t="n">
        <v>46063</v>
      </c>
      <c r="D72" t="inlineStr">
        <is>
          <t>ÖREBRO LÄN</t>
        </is>
      </c>
      <c r="E72" t="inlineStr">
        <is>
          <t>LAXÅ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30078-2021</t>
        </is>
      </c>
      <c r="B73" s="1" t="n">
        <v>44363</v>
      </c>
      <c r="C73" s="1" t="n">
        <v>46063</v>
      </c>
      <c r="D73" t="inlineStr">
        <is>
          <t>ÖREBRO LÄN</t>
        </is>
      </c>
      <c r="E73" t="inlineStr">
        <is>
          <t>LAXÅ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34668-2021</t>
        </is>
      </c>
      <c r="B74" s="1" t="n">
        <v>44382</v>
      </c>
      <c r="C74" s="1" t="n">
        <v>46063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42395-2021</t>
        </is>
      </c>
      <c r="B75" s="1" t="n">
        <v>44427</v>
      </c>
      <c r="C75" s="1" t="n">
        <v>46063</v>
      </c>
      <c r="D75" t="inlineStr">
        <is>
          <t>ÖREBRO LÄN</t>
        </is>
      </c>
      <c r="E75" t="inlineStr">
        <is>
          <t>LAXÅ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22927-2021</t>
        </is>
      </c>
      <c r="B76" s="1" t="n">
        <v>44328</v>
      </c>
      <c r="C76" s="1" t="n">
        <v>46063</v>
      </c>
      <c r="D76" t="inlineStr">
        <is>
          <t>ÖREBRO LÄN</t>
        </is>
      </c>
      <c r="E76" t="inlineStr">
        <is>
          <t>LAXÅ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36350-2022</t>
        </is>
      </c>
      <c r="B77" s="1" t="n">
        <v>44803</v>
      </c>
      <c r="C77" s="1" t="n">
        <v>46063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34515-2021</t>
        </is>
      </c>
      <c r="B78" s="1" t="n">
        <v>44379</v>
      </c>
      <c r="C78" s="1" t="n">
        <v>46063</v>
      </c>
      <c r="D78" t="inlineStr">
        <is>
          <t>ÖREBRO LÄN</t>
        </is>
      </c>
      <c r="E78" t="inlineStr">
        <is>
          <t>LAXÅ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44099-2021</t>
        </is>
      </c>
      <c r="B79" s="1" t="n">
        <v>44434</v>
      </c>
      <c r="C79" s="1" t="n">
        <v>46063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10041-2022</t>
        </is>
      </c>
      <c r="B80" s="1" t="n">
        <v>44621</v>
      </c>
      <c r="C80" s="1" t="n">
        <v>46063</v>
      </c>
      <c r="D80" t="inlineStr">
        <is>
          <t>ÖREBRO LÄN</t>
        </is>
      </c>
      <c r="E80" t="inlineStr">
        <is>
          <t>LAXÅ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48216-2021</t>
        </is>
      </c>
      <c r="B81" s="1" t="n">
        <v>44449</v>
      </c>
      <c r="C81" s="1" t="n">
        <v>46063</v>
      </c>
      <c r="D81" t="inlineStr">
        <is>
          <t>ÖREBRO LÄN</t>
        </is>
      </c>
      <c r="E81" t="inlineStr">
        <is>
          <t>LAXÅ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42184-2021</t>
        </is>
      </c>
      <c r="B82" s="1" t="n">
        <v>44426</v>
      </c>
      <c r="C82" s="1" t="n">
        <v>46063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15502-2022</t>
        </is>
      </c>
      <c r="B83" s="1" t="n">
        <v>44662.38864583334</v>
      </c>
      <c r="C83" s="1" t="n">
        <v>46063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36348-2022</t>
        </is>
      </c>
      <c r="B84" s="1" t="n">
        <v>44803</v>
      </c>
      <c r="C84" s="1" t="n">
        <v>46063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28863-2021</t>
        </is>
      </c>
      <c r="B85" s="1" t="n">
        <v>44357.69152777778</v>
      </c>
      <c r="C85" s="1" t="n">
        <v>46063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37137-2022</t>
        </is>
      </c>
      <c r="B86" s="1" t="n">
        <v>44805</v>
      </c>
      <c r="C86" s="1" t="n">
        <v>46063</v>
      </c>
      <c r="D86" t="inlineStr">
        <is>
          <t>ÖREBRO LÄN</t>
        </is>
      </c>
      <c r="E86" t="inlineStr">
        <is>
          <t>LAXÅ</t>
        </is>
      </c>
      <c r="G86" t="n">
        <v>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57959-2021</t>
        </is>
      </c>
      <c r="B87" s="1" t="n">
        <v>44484</v>
      </c>
      <c r="C87" s="1" t="n">
        <v>46063</v>
      </c>
      <c r="D87" t="inlineStr">
        <is>
          <t>ÖREBRO LÄN</t>
        </is>
      </c>
      <c r="E87" t="inlineStr">
        <is>
          <t>LAXÅ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36520-2022</t>
        </is>
      </c>
      <c r="B88" s="1" t="n">
        <v>44804.53834490741</v>
      </c>
      <c r="C88" s="1" t="n">
        <v>46063</v>
      </c>
      <c r="D88" t="inlineStr">
        <is>
          <t>ÖREBRO LÄN</t>
        </is>
      </c>
      <c r="E88" t="inlineStr">
        <is>
          <t>LAXÅ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8898-2022</t>
        </is>
      </c>
      <c r="B89" s="1" t="n">
        <v>44614</v>
      </c>
      <c r="C89" s="1" t="n">
        <v>46063</v>
      </c>
      <c r="D89" t="inlineStr">
        <is>
          <t>ÖREBRO LÄN</t>
        </is>
      </c>
      <c r="E89" t="inlineStr">
        <is>
          <t>LAXÅ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67054-2021</t>
        </is>
      </c>
      <c r="B90" s="1" t="n">
        <v>44522</v>
      </c>
      <c r="C90" s="1" t="n">
        <v>46063</v>
      </c>
      <c r="D90" t="inlineStr">
        <is>
          <t>ÖREBRO LÄN</t>
        </is>
      </c>
      <c r="E90" t="inlineStr">
        <is>
          <t>LAXÅ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69035-2021</t>
        </is>
      </c>
      <c r="B91" s="1" t="n">
        <v>44530</v>
      </c>
      <c r="C91" s="1" t="n">
        <v>46063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2372-2022</t>
        </is>
      </c>
      <c r="B92" s="1" t="n">
        <v>44579.33436342593</v>
      </c>
      <c r="C92" s="1" t="n">
        <v>46063</v>
      </c>
      <c r="D92" t="inlineStr">
        <is>
          <t>ÖREBRO LÄN</t>
        </is>
      </c>
      <c r="E92" t="inlineStr">
        <is>
          <t>LAXÅ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22810-2021</t>
        </is>
      </c>
      <c r="B93" s="1" t="n">
        <v>44328.31252314815</v>
      </c>
      <c r="C93" s="1" t="n">
        <v>46063</v>
      </c>
      <c r="D93" t="inlineStr">
        <is>
          <t>ÖREBRO LÄN</t>
        </is>
      </c>
      <c r="E93" t="inlineStr">
        <is>
          <t>LAXÅ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15518-2022</t>
        </is>
      </c>
      <c r="B94" s="1" t="n">
        <v>44662</v>
      </c>
      <c r="C94" s="1" t="n">
        <v>46063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46484-2021</t>
        </is>
      </c>
      <c r="B95" s="1" t="n">
        <v>44445.38594907407</v>
      </c>
      <c r="C95" s="1" t="n">
        <v>46063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978-2022</t>
        </is>
      </c>
      <c r="B96" s="1" t="n">
        <v>44571</v>
      </c>
      <c r="C96" s="1" t="n">
        <v>46063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33863-2021</t>
        </is>
      </c>
      <c r="B97" s="1" t="n">
        <v>44378.62489583333</v>
      </c>
      <c r="C97" s="1" t="n">
        <v>46063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62423-2021</t>
        </is>
      </c>
      <c r="B98" s="1" t="n">
        <v>44503</v>
      </c>
      <c r="C98" s="1" t="n">
        <v>46063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33862-2021</t>
        </is>
      </c>
      <c r="B99" s="1" t="n">
        <v>44378.62453703704</v>
      </c>
      <c r="C99" s="1" t="n">
        <v>46063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37146-2022</t>
        </is>
      </c>
      <c r="B100" s="1" t="n">
        <v>44805</v>
      </c>
      <c r="C100" s="1" t="n">
        <v>46063</v>
      </c>
      <c r="D100" t="inlineStr">
        <is>
          <t>ÖREBRO LÄN</t>
        </is>
      </c>
      <c r="E100" t="inlineStr">
        <is>
          <t>LAXÅ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62437-2021</t>
        </is>
      </c>
      <c r="B101" s="1" t="n">
        <v>44503</v>
      </c>
      <c r="C101" s="1" t="n">
        <v>46063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27502-2021</t>
        </is>
      </c>
      <c r="B102" s="1" t="n">
        <v>44351.64181712963</v>
      </c>
      <c r="C102" s="1" t="n">
        <v>46063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36928-2021</t>
        </is>
      </c>
      <c r="B103" s="1" t="n">
        <v>44393.49886574074</v>
      </c>
      <c r="C103" s="1" t="n">
        <v>46063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10673-2023</t>
        </is>
      </c>
      <c r="B104" s="1" t="n">
        <v>44988.54459490741</v>
      </c>
      <c r="C104" s="1" t="n">
        <v>46063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53538-2023</t>
        </is>
      </c>
      <c r="B105" s="1" t="n">
        <v>45230.45271990741</v>
      </c>
      <c r="C105" s="1" t="n">
        <v>46063</v>
      </c>
      <c r="D105" t="inlineStr">
        <is>
          <t>ÖREBRO LÄN</t>
        </is>
      </c>
      <c r="E105" t="inlineStr">
        <is>
          <t>LAXÅ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38547-2022</t>
        </is>
      </c>
      <c r="B106" s="1" t="n">
        <v>44813</v>
      </c>
      <c r="C106" s="1" t="n">
        <v>46063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38554-2022</t>
        </is>
      </c>
      <c r="B107" s="1" t="n">
        <v>44813</v>
      </c>
      <c r="C107" s="1" t="n">
        <v>46063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19177-2023</t>
        </is>
      </c>
      <c r="B108" s="1" t="n">
        <v>45048</v>
      </c>
      <c r="C108" s="1" t="n">
        <v>46063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34594-2022</t>
        </is>
      </c>
      <c r="B109" s="1" t="n">
        <v>44795</v>
      </c>
      <c r="C109" s="1" t="n">
        <v>46063</v>
      </c>
      <c r="D109" t="inlineStr">
        <is>
          <t>ÖREBRO LÄN</t>
        </is>
      </c>
      <c r="E109" t="inlineStr">
        <is>
          <t>LAXÅ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21522-2024</t>
        </is>
      </c>
      <c r="B110" s="1" t="n">
        <v>45441</v>
      </c>
      <c r="C110" s="1" t="n">
        <v>46063</v>
      </c>
      <c r="D110" t="inlineStr">
        <is>
          <t>ÖREBRO LÄN</t>
        </is>
      </c>
      <c r="E110" t="inlineStr">
        <is>
          <t>LAXÅ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13001-2024</t>
        </is>
      </c>
      <c r="B111" s="1" t="n">
        <v>45385.56900462963</v>
      </c>
      <c r="C111" s="1" t="n">
        <v>46063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53016-2023</t>
        </is>
      </c>
      <c r="B112" s="1" t="n">
        <v>45226.66472222222</v>
      </c>
      <c r="C112" s="1" t="n">
        <v>46063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12060-2024</t>
        </is>
      </c>
      <c r="B113" s="1" t="n">
        <v>45377.49229166667</v>
      </c>
      <c r="C113" s="1" t="n">
        <v>46063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12065-2024</t>
        </is>
      </c>
      <c r="B114" s="1" t="n">
        <v>45377.49775462963</v>
      </c>
      <c r="C114" s="1" t="n">
        <v>46063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23674-2024</t>
        </is>
      </c>
      <c r="B115" s="1" t="n">
        <v>45454.60694444444</v>
      </c>
      <c r="C115" s="1" t="n">
        <v>46063</v>
      </c>
      <c r="D115" t="inlineStr">
        <is>
          <t>ÖREBRO LÄN</t>
        </is>
      </c>
      <c r="E115" t="inlineStr">
        <is>
          <t>LAXÅ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33774-2022</t>
        </is>
      </c>
      <c r="B116" s="1" t="n">
        <v>44790.37331018518</v>
      </c>
      <c r="C116" s="1" t="n">
        <v>46063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14007-2024</t>
        </is>
      </c>
      <c r="B117" s="1" t="n">
        <v>45392.47525462963</v>
      </c>
      <c r="C117" s="1" t="n">
        <v>46063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61090-2023</t>
        </is>
      </c>
      <c r="B118" s="1" t="n">
        <v>45261.64101851852</v>
      </c>
      <c r="C118" s="1" t="n">
        <v>46063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36902-2021</t>
        </is>
      </c>
      <c r="B119" s="1" t="n">
        <v>44393.45766203704</v>
      </c>
      <c r="C119" s="1" t="n">
        <v>46063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25843-2024</t>
        </is>
      </c>
      <c r="B120" s="1" t="n">
        <v>45467.43387731481</v>
      </c>
      <c r="C120" s="1" t="n">
        <v>46063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57367-2021</t>
        </is>
      </c>
      <c r="B121" s="1" t="n">
        <v>44483</v>
      </c>
      <c r="C121" s="1" t="n">
        <v>46063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1662-2024</t>
        </is>
      </c>
      <c r="B122" s="1" t="n">
        <v>45306</v>
      </c>
      <c r="C122" s="1" t="n">
        <v>46063</v>
      </c>
      <c r="D122" t="inlineStr">
        <is>
          <t>ÖREBRO LÄN</t>
        </is>
      </c>
      <c r="E122" t="inlineStr">
        <is>
          <t>LAXÅ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35850-2024</t>
        </is>
      </c>
      <c r="B123" s="1" t="n">
        <v>45532.89505787037</v>
      </c>
      <c r="C123" s="1" t="n">
        <v>46063</v>
      </c>
      <c r="D123" t="inlineStr">
        <is>
          <t>ÖREBRO LÄN</t>
        </is>
      </c>
      <c r="E123" t="inlineStr">
        <is>
          <t>LAXÅ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25842-2024</t>
        </is>
      </c>
      <c r="B124" s="1" t="n">
        <v>45467.43387731481</v>
      </c>
      <c r="C124" s="1" t="n">
        <v>46063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25845-2024</t>
        </is>
      </c>
      <c r="B125" s="1" t="n">
        <v>45467.43505787037</v>
      </c>
      <c r="C125" s="1" t="n">
        <v>46063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55212-2021</t>
        </is>
      </c>
      <c r="B126" s="1" t="n">
        <v>44475</v>
      </c>
      <c r="C126" s="1" t="n">
        <v>46063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55214-2021</t>
        </is>
      </c>
      <c r="B127" s="1" t="n">
        <v>44475.37439814815</v>
      </c>
      <c r="C127" s="1" t="n">
        <v>46063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54873-2024</t>
        </is>
      </c>
      <c r="B128" s="1" t="n">
        <v>45618.601875</v>
      </c>
      <c r="C128" s="1" t="n">
        <v>46063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22797-2024</t>
        </is>
      </c>
      <c r="B129" s="1" t="n">
        <v>45448.51060185185</v>
      </c>
      <c r="C129" s="1" t="n">
        <v>46063</v>
      </c>
      <c r="D129" t="inlineStr">
        <is>
          <t>ÖREBRO LÄN</t>
        </is>
      </c>
      <c r="E129" t="inlineStr">
        <is>
          <t>LAXÅ</t>
        </is>
      </c>
      <c r="F129" t="inlineStr">
        <is>
          <t>Övriga statliga verk och myndigheter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36553-2024</t>
        </is>
      </c>
      <c r="B130" s="1" t="n">
        <v>45537.46827546296</v>
      </c>
      <c r="C130" s="1" t="n">
        <v>46063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54832-2024</t>
        </is>
      </c>
      <c r="B131" s="1" t="n">
        <v>45618.55387731481</v>
      </c>
      <c r="C131" s="1" t="n">
        <v>46063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54845-2024</t>
        </is>
      </c>
      <c r="B132" s="1" t="n">
        <v>45618</v>
      </c>
      <c r="C132" s="1" t="n">
        <v>46063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12430-2023</t>
        </is>
      </c>
      <c r="B133" s="1" t="n">
        <v>44998</v>
      </c>
      <c r="C133" s="1" t="n">
        <v>46063</v>
      </c>
      <c r="D133" t="inlineStr">
        <is>
          <t>ÖREBRO LÄN</t>
        </is>
      </c>
      <c r="E133" t="inlineStr">
        <is>
          <t>LAXÅ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13888-2024</t>
        </is>
      </c>
      <c r="B134" s="1" t="n">
        <v>45391</v>
      </c>
      <c r="C134" s="1" t="n">
        <v>46063</v>
      </c>
      <c r="D134" t="inlineStr">
        <is>
          <t>ÖREBRO LÄN</t>
        </is>
      </c>
      <c r="E134" t="inlineStr">
        <is>
          <t>LAXÅ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43796-2021</t>
        </is>
      </c>
      <c r="B135" s="1" t="n">
        <v>44433</v>
      </c>
      <c r="C135" s="1" t="n">
        <v>46063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51714-2022</t>
        </is>
      </c>
      <c r="B136" s="1" t="n">
        <v>44872.46712962963</v>
      </c>
      <c r="C136" s="1" t="n">
        <v>46063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28393-2025</t>
        </is>
      </c>
      <c r="B137" s="1" t="n">
        <v>45819</v>
      </c>
      <c r="C137" s="1" t="n">
        <v>46063</v>
      </c>
      <c r="D137" t="inlineStr">
        <is>
          <t>ÖREBRO LÄN</t>
        </is>
      </c>
      <c r="E137" t="inlineStr">
        <is>
          <t>LAXÅ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28396-2025</t>
        </is>
      </c>
      <c r="B138" s="1" t="n">
        <v>45819.33673611111</v>
      </c>
      <c r="C138" s="1" t="n">
        <v>46063</v>
      </c>
      <c r="D138" t="inlineStr">
        <is>
          <t>ÖREBRO LÄN</t>
        </is>
      </c>
      <c r="E138" t="inlineStr">
        <is>
          <t>LAXÅ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29087-2025</t>
        </is>
      </c>
      <c r="B139" s="1" t="n">
        <v>45821.54633101852</v>
      </c>
      <c r="C139" s="1" t="n">
        <v>46063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29089-2025</t>
        </is>
      </c>
      <c r="B140" s="1" t="n">
        <v>45821.54746527778</v>
      </c>
      <c r="C140" s="1" t="n">
        <v>46063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29090-2025</t>
        </is>
      </c>
      <c r="B141" s="1" t="n">
        <v>45821.54993055556</v>
      </c>
      <c r="C141" s="1" t="n">
        <v>46063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41516-2024</t>
        </is>
      </c>
      <c r="B142" s="1" t="n">
        <v>45560</v>
      </c>
      <c r="C142" s="1" t="n">
        <v>46063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41522-2024</t>
        </is>
      </c>
      <c r="B143" s="1" t="n">
        <v>45560</v>
      </c>
      <c r="C143" s="1" t="n">
        <v>46063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41528-2024</t>
        </is>
      </c>
      <c r="B144" s="1" t="n">
        <v>45560</v>
      </c>
      <c r="C144" s="1" t="n">
        <v>46063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6294-2024</t>
        </is>
      </c>
      <c r="B145" s="1" t="n">
        <v>45338.32368055556</v>
      </c>
      <c r="C145" s="1" t="n">
        <v>46063</v>
      </c>
      <c r="D145" t="inlineStr">
        <is>
          <t>ÖREBRO LÄN</t>
        </is>
      </c>
      <c r="E145" t="inlineStr">
        <is>
          <t>LAXÅ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30334-2025</t>
        </is>
      </c>
      <c r="B146" s="1" t="n">
        <v>45827.51025462963</v>
      </c>
      <c r="C146" s="1" t="n">
        <v>46063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30384-2025</t>
        </is>
      </c>
      <c r="B147" s="1" t="n">
        <v>45827.57152777778</v>
      </c>
      <c r="C147" s="1" t="n">
        <v>46063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55479-2024</t>
        </is>
      </c>
      <c r="B148" s="1" t="n">
        <v>45622.4384375</v>
      </c>
      <c r="C148" s="1" t="n">
        <v>46063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13004-2024</t>
        </is>
      </c>
      <c r="B149" s="1" t="n">
        <v>45385.56987268518</v>
      </c>
      <c r="C149" s="1" t="n">
        <v>46063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54831-2024</t>
        </is>
      </c>
      <c r="B150" s="1" t="n">
        <v>45618.55291666667</v>
      </c>
      <c r="C150" s="1" t="n">
        <v>46063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12063-2024</t>
        </is>
      </c>
      <c r="B151" s="1" t="n">
        <v>45377.4959837963</v>
      </c>
      <c r="C151" s="1" t="n">
        <v>46063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28566-2025</t>
        </is>
      </c>
      <c r="B152" s="1" t="n">
        <v>45819</v>
      </c>
      <c r="C152" s="1" t="n">
        <v>46063</v>
      </c>
      <c r="D152" t="inlineStr">
        <is>
          <t>ÖREBRO LÄN</t>
        </is>
      </c>
      <c r="E152" t="inlineStr">
        <is>
          <t>LAXÅ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6902-2025</t>
        </is>
      </c>
      <c r="B153" s="1" t="n">
        <v>45701</v>
      </c>
      <c r="C153" s="1" t="n">
        <v>46063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38722-2025</t>
        </is>
      </c>
      <c r="B154" s="1" t="n">
        <v>45886</v>
      </c>
      <c r="C154" s="1" t="n">
        <v>46063</v>
      </c>
      <c r="D154" t="inlineStr">
        <is>
          <t>ÖREBRO LÄN</t>
        </is>
      </c>
      <c r="E154" t="inlineStr">
        <is>
          <t>LAXÅ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21764-2022</t>
        </is>
      </c>
      <c r="B155" s="1" t="n">
        <v>44708.45179398148</v>
      </c>
      <c r="C155" s="1" t="n">
        <v>46063</v>
      </c>
      <c r="D155" t="inlineStr">
        <is>
          <t>ÖREBRO LÄN</t>
        </is>
      </c>
      <c r="E155" t="inlineStr">
        <is>
          <t>LAXÅ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48849-2023</t>
        </is>
      </c>
      <c r="B156" s="1" t="n">
        <v>45209.43077546296</v>
      </c>
      <c r="C156" s="1" t="n">
        <v>46063</v>
      </c>
      <c r="D156" t="inlineStr">
        <is>
          <t>ÖREBRO LÄN</t>
        </is>
      </c>
      <c r="E156" t="inlineStr">
        <is>
          <t>LAXÅ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49974-2021</t>
        </is>
      </c>
      <c r="B157" s="1" t="n">
        <v>44456</v>
      </c>
      <c r="C157" s="1" t="n">
        <v>46063</v>
      </c>
      <c r="D157" t="inlineStr">
        <is>
          <t>ÖREBRO LÄN</t>
        </is>
      </c>
      <c r="E157" t="inlineStr">
        <is>
          <t>LAXÅ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29644-2025</t>
        </is>
      </c>
      <c r="B158" s="1" t="n">
        <v>45825</v>
      </c>
      <c r="C158" s="1" t="n">
        <v>46063</v>
      </c>
      <c r="D158" t="inlineStr">
        <is>
          <t>ÖREBRO LÄN</t>
        </is>
      </c>
      <c r="E158" t="inlineStr">
        <is>
          <t>LAXÅ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40430-2024</t>
        </is>
      </c>
      <c r="B159" s="1" t="n">
        <v>45555.47060185186</v>
      </c>
      <c r="C159" s="1" t="n">
        <v>46063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18834-2025</t>
        </is>
      </c>
      <c r="B160" s="1" t="n">
        <v>45764.39489583333</v>
      </c>
      <c r="C160" s="1" t="n">
        <v>46063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28415-2025</t>
        </is>
      </c>
      <c r="B161" s="1" t="n">
        <v>45819.35181712963</v>
      </c>
      <c r="C161" s="1" t="n">
        <v>46063</v>
      </c>
      <c r="D161" t="inlineStr">
        <is>
          <t>ÖREBRO LÄN</t>
        </is>
      </c>
      <c r="E161" t="inlineStr">
        <is>
          <t>LAXÅ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39852-2025</t>
        </is>
      </c>
      <c r="B162" s="1" t="n">
        <v>45891.58693287037</v>
      </c>
      <c r="C162" s="1" t="n">
        <v>46063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33282-2025</t>
        </is>
      </c>
      <c r="B163" s="1" t="n">
        <v>45840.71344907407</v>
      </c>
      <c r="C163" s="1" t="n">
        <v>46063</v>
      </c>
      <c r="D163" t="inlineStr">
        <is>
          <t>ÖREBRO LÄN</t>
        </is>
      </c>
      <c r="E163" t="inlineStr">
        <is>
          <t>LAXÅ</t>
        </is>
      </c>
      <c r="F163" t="inlineStr">
        <is>
          <t>Allmännings- och besparingsskogar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39952-2024</t>
        </is>
      </c>
      <c r="B164" s="1" t="n">
        <v>45553</v>
      </c>
      <c r="C164" s="1" t="n">
        <v>46063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14208-2025</t>
        </is>
      </c>
      <c r="B165" s="1" t="n">
        <v>45740.57796296296</v>
      </c>
      <c r="C165" s="1" t="n">
        <v>46063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39851-2025</t>
        </is>
      </c>
      <c r="B166" s="1" t="n">
        <v>45891.58603009259</v>
      </c>
      <c r="C166" s="1" t="n">
        <v>46063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33561-2025</t>
        </is>
      </c>
      <c r="B167" s="1" t="n">
        <v>45841.57755787037</v>
      </c>
      <c r="C167" s="1" t="n">
        <v>46063</v>
      </c>
      <c r="D167" t="inlineStr">
        <is>
          <t>ÖREBRO LÄN</t>
        </is>
      </c>
      <c r="E167" t="inlineStr">
        <is>
          <t>LAXÅ</t>
        </is>
      </c>
      <c r="F167" t="inlineStr">
        <is>
          <t>Övriga statliga verk och myndigheter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40668-2025</t>
        </is>
      </c>
      <c r="B168" s="1" t="n">
        <v>45896</v>
      </c>
      <c r="C168" s="1" t="n">
        <v>46063</v>
      </c>
      <c r="D168" t="inlineStr">
        <is>
          <t>ÖREBRO LÄN</t>
        </is>
      </c>
      <c r="E168" t="inlineStr">
        <is>
          <t>LAXÅ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50578-2024</t>
        </is>
      </c>
      <c r="B169" s="1" t="n">
        <v>45601</v>
      </c>
      <c r="C169" s="1" t="n">
        <v>46063</v>
      </c>
      <c r="D169" t="inlineStr">
        <is>
          <t>ÖREBRO LÄN</t>
        </is>
      </c>
      <c r="E169" t="inlineStr">
        <is>
          <t>LAXÅ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33572-2025</t>
        </is>
      </c>
      <c r="B170" s="1" t="n">
        <v>45841.58515046296</v>
      </c>
      <c r="C170" s="1" t="n">
        <v>46063</v>
      </c>
      <c r="D170" t="inlineStr">
        <is>
          <t>ÖREBRO LÄN</t>
        </is>
      </c>
      <c r="E170" t="inlineStr">
        <is>
          <t>LAXÅ</t>
        </is>
      </c>
      <c r="F170" t="inlineStr">
        <is>
          <t>Övriga statliga verk och myndigheter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33576-2025</t>
        </is>
      </c>
      <c r="B171" s="1" t="n">
        <v>45841.58979166667</v>
      </c>
      <c r="C171" s="1" t="n">
        <v>46063</v>
      </c>
      <c r="D171" t="inlineStr">
        <is>
          <t>ÖREBRO LÄN</t>
        </is>
      </c>
      <c r="E171" t="inlineStr">
        <is>
          <t>LAXÅ</t>
        </is>
      </c>
      <c r="F171" t="inlineStr">
        <is>
          <t>Övriga statliga verk och myndigheter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33581-2025</t>
        </is>
      </c>
      <c r="B172" s="1" t="n">
        <v>45841.59417824074</v>
      </c>
      <c r="C172" s="1" t="n">
        <v>46063</v>
      </c>
      <c r="D172" t="inlineStr">
        <is>
          <t>ÖREBRO LÄN</t>
        </is>
      </c>
      <c r="E172" t="inlineStr">
        <is>
          <t>LAXÅ</t>
        </is>
      </c>
      <c r="F172" t="inlineStr">
        <is>
          <t>Övriga statliga verk och myndigheter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33591-2025</t>
        </is>
      </c>
      <c r="B173" s="1" t="n">
        <v>45841.5987962963</v>
      </c>
      <c r="C173" s="1" t="n">
        <v>46063</v>
      </c>
      <c r="D173" t="inlineStr">
        <is>
          <t>ÖREBRO LÄN</t>
        </is>
      </c>
      <c r="E173" t="inlineStr">
        <is>
          <t>LAXÅ</t>
        </is>
      </c>
      <c r="F173" t="inlineStr">
        <is>
          <t>Övriga statliga verk och myndigheter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41456-2023</t>
        </is>
      </c>
      <c r="B174" s="1" t="n">
        <v>45175.39209490741</v>
      </c>
      <c r="C174" s="1" t="n">
        <v>46063</v>
      </c>
      <c r="D174" t="inlineStr">
        <is>
          <t>ÖREBRO LÄN</t>
        </is>
      </c>
      <c r="E174" t="inlineStr">
        <is>
          <t>LAXÅ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33597-2025</t>
        </is>
      </c>
      <c r="B175" s="1" t="n">
        <v>45841.60391203704</v>
      </c>
      <c r="C175" s="1" t="n">
        <v>46063</v>
      </c>
      <c r="D175" t="inlineStr">
        <is>
          <t>ÖREBRO LÄN</t>
        </is>
      </c>
      <c r="E175" t="inlineStr">
        <is>
          <t>LAXÅ</t>
        </is>
      </c>
      <c r="F175" t="inlineStr">
        <is>
          <t>Övriga statliga verk och myndigheter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50005-2021</t>
        </is>
      </c>
      <c r="B176" s="1" t="n">
        <v>44456</v>
      </c>
      <c r="C176" s="1" t="n">
        <v>46063</v>
      </c>
      <c r="D176" t="inlineStr">
        <is>
          <t>ÖREBRO LÄN</t>
        </is>
      </c>
      <c r="E176" t="inlineStr">
        <is>
          <t>LAXÅ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28524-2022</t>
        </is>
      </c>
      <c r="B177" s="1" t="n">
        <v>44748.36506944444</v>
      </c>
      <c r="C177" s="1" t="n">
        <v>46063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25512-2023</t>
        </is>
      </c>
      <c r="B178" s="1" t="n">
        <v>45089.50358796296</v>
      </c>
      <c r="C178" s="1" t="n">
        <v>46063</v>
      </c>
      <c r="D178" t="inlineStr">
        <is>
          <t>ÖREBRO LÄN</t>
        </is>
      </c>
      <c r="E178" t="inlineStr">
        <is>
          <t>LAXÅ</t>
        </is>
      </c>
      <c r="F178" t="inlineStr">
        <is>
          <t>Övriga statliga verk och myndigheter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25515-2023</t>
        </is>
      </c>
      <c r="B179" s="1" t="n">
        <v>45089.5080787037</v>
      </c>
      <c r="C179" s="1" t="n">
        <v>46063</v>
      </c>
      <c r="D179" t="inlineStr">
        <is>
          <t>ÖREBRO LÄN</t>
        </is>
      </c>
      <c r="E179" t="inlineStr">
        <is>
          <t>LAXÅ</t>
        </is>
      </c>
      <c r="F179" t="inlineStr">
        <is>
          <t>Övriga statliga verk och myndigheter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52353-2024</t>
        </is>
      </c>
      <c r="B180" s="1" t="n">
        <v>45609.36297453703</v>
      </c>
      <c r="C180" s="1" t="n">
        <v>46063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10680-2023</t>
        </is>
      </c>
      <c r="B181" s="1" t="n">
        <v>44988.55023148148</v>
      </c>
      <c r="C181" s="1" t="n">
        <v>46063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42549-2025</t>
        </is>
      </c>
      <c r="B182" s="1" t="n">
        <v>45905.59025462963</v>
      </c>
      <c r="C182" s="1" t="n">
        <v>46063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42571-2025</t>
        </is>
      </c>
      <c r="B183" s="1" t="n">
        <v>45905.60946759259</v>
      </c>
      <c r="C183" s="1" t="n">
        <v>46063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42738-2025</t>
        </is>
      </c>
      <c r="B184" s="1" t="n">
        <v>45908.42685185185</v>
      </c>
      <c r="C184" s="1" t="n">
        <v>46063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42740-2025</t>
        </is>
      </c>
      <c r="B185" s="1" t="n">
        <v>45908.4287962963</v>
      </c>
      <c r="C185" s="1" t="n">
        <v>46063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42743-2025</t>
        </is>
      </c>
      <c r="B186" s="1" t="n">
        <v>45908.43072916667</v>
      </c>
      <c r="C186" s="1" t="n">
        <v>46063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42551-2025</t>
        </is>
      </c>
      <c r="B187" s="1" t="n">
        <v>45905.59076388889</v>
      </c>
      <c r="C187" s="1" t="n">
        <v>46063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42559-2025</t>
        </is>
      </c>
      <c r="B188" s="1" t="n">
        <v>45905.59568287037</v>
      </c>
      <c r="C188" s="1" t="n">
        <v>46063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54878-2024</t>
        </is>
      </c>
      <c r="B189" s="1" t="n">
        <v>45618.60434027778</v>
      </c>
      <c r="C189" s="1" t="n">
        <v>46063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42561-2025</t>
        </is>
      </c>
      <c r="B190" s="1" t="n">
        <v>45905.59783564815</v>
      </c>
      <c r="C190" s="1" t="n">
        <v>46063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42739-2025</t>
        </is>
      </c>
      <c r="B191" s="1" t="n">
        <v>45908.42826388889</v>
      </c>
      <c r="C191" s="1" t="n">
        <v>46063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42741-2025</t>
        </is>
      </c>
      <c r="B192" s="1" t="n">
        <v>45908.42994212963</v>
      </c>
      <c r="C192" s="1" t="n">
        <v>46063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42552-2025</t>
        </is>
      </c>
      <c r="B193" s="1" t="n">
        <v>45905.59133101852</v>
      </c>
      <c r="C193" s="1" t="n">
        <v>46063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67053-2021</t>
        </is>
      </c>
      <c r="B194" s="1" t="n">
        <v>44522</v>
      </c>
      <c r="C194" s="1" t="n">
        <v>46063</v>
      </c>
      <c r="D194" t="inlineStr">
        <is>
          <t>ÖREBRO LÄN</t>
        </is>
      </c>
      <c r="E194" t="inlineStr">
        <is>
          <t>LAXÅ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43173-2025</t>
        </is>
      </c>
      <c r="B195" s="1" t="n">
        <v>45910.4009375</v>
      </c>
      <c r="C195" s="1" t="n">
        <v>46063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57548-2023</t>
        </is>
      </c>
      <c r="B196" s="1" t="n">
        <v>45240</v>
      </c>
      <c r="C196" s="1" t="n">
        <v>46063</v>
      </c>
      <c r="D196" t="inlineStr">
        <is>
          <t>ÖREBRO LÄN</t>
        </is>
      </c>
      <c r="E196" t="inlineStr">
        <is>
          <t>LAXÅ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36672-2025</t>
        </is>
      </c>
      <c r="B197" s="1" t="n">
        <v>45873.39019675926</v>
      </c>
      <c r="C197" s="1" t="n">
        <v>46063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36670-2025</t>
        </is>
      </c>
      <c r="B198" s="1" t="n">
        <v>45873</v>
      </c>
      <c r="C198" s="1" t="n">
        <v>46063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44313-2025</t>
        </is>
      </c>
      <c r="B199" s="1" t="n">
        <v>45915</v>
      </c>
      <c r="C199" s="1" t="n">
        <v>46063</v>
      </c>
      <c r="D199" t="inlineStr">
        <is>
          <t>ÖREBRO LÄN</t>
        </is>
      </c>
      <c r="E199" t="inlineStr">
        <is>
          <t>LAXÅ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37620-2025</t>
        </is>
      </c>
      <c r="B200" s="1" t="n">
        <v>45880.44960648148</v>
      </c>
      <c r="C200" s="1" t="n">
        <v>46063</v>
      </c>
      <c r="D200" t="inlineStr">
        <is>
          <t>ÖREBRO LÄN</t>
        </is>
      </c>
      <c r="E200" t="inlineStr">
        <is>
          <t>LAXÅ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16682-2024</t>
        </is>
      </c>
      <c r="B201" s="1" t="n">
        <v>45408.69633101852</v>
      </c>
      <c r="C201" s="1" t="n">
        <v>46063</v>
      </c>
      <c r="D201" t="inlineStr">
        <is>
          <t>ÖREBRO LÄN</t>
        </is>
      </c>
      <c r="E201" t="inlineStr">
        <is>
          <t>LAXÅ</t>
        </is>
      </c>
      <c r="F201" t="inlineStr">
        <is>
          <t>Allmännings- och besparingsskogar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37942-2025</t>
        </is>
      </c>
      <c r="B202" s="1" t="n">
        <v>45881.6027662037</v>
      </c>
      <c r="C202" s="1" t="n">
        <v>46063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12962-2025</t>
        </is>
      </c>
      <c r="B203" s="1" t="n">
        <v>45734.42104166667</v>
      </c>
      <c r="C203" s="1" t="n">
        <v>46063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33692-2023</t>
        </is>
      </c>
      <c r="B204" s="1" t="n">
        <v>45132.69987268518</v>
      </c>
      <c r="C204" s="1" t="n">
        <v>46063</v>
      </c>
      <c r="D204" t="inlineStr">
        <is>
          <t>ÖREBRO LÄN</t>
        </is>
      </c>
      <c r="E204" t="inlineStr">
        <is>
          <t>LAXÅ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33696-2023</t>
        </is>
      </c>
      <c r="B205" s="1" t="n">
        <v>45132.71356481482</v>
      </c>
      <c r="C205" s="1" t="n">
        <v>46063</v>
      </c>
      <c r="D205" t="inlineStr">
        <is>
          <t>ÖREBRO LÄN</t>
        </is>
      </c>
      <c r="E205" t="inlineStr">
        <is>
          <t>LAXÅ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6905-2025</t>
        </is>
      </c>
      <c r="B206" s="1" t="n">
        <v>45701</v>
      </c>
      <c r="C206" s="1" t="n">
        <v>46063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45424-2025</t>
        </is>
      </c>
      <c r="B207" s="1" t="n">
        <v>45920</v>
      </c>
      <c r="C207" s="1" t="n">
        <v>46063</v>
      </c>
      <c r="D207" t="inlineStr">
        <is>
          <t>ÖREBRO LÄN</t>
        </is>
      </c>
      <c r="E207" t="inlineStr">
        <is>
          <t>LAXÅ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57521-2023</t>
        </is>
      </c>
      <c r="B208" s="1" t="n">
        <v>45240</v>
      </c>
      <c r="C208" s="1" t="n">
        <v>46063</v>
      </c>
      <c r="D208" t="inlineStr">
        <is>
          <t>ÖREBRO LÄN</t>
        </is>
      </c>
      <c r="E208" t="inlineStr">
        <is>
          <t>LAXÅ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57534-2023</t>
        </is>
      </c>
      <c r="B209" s="1" t="n">
        <v>45240</v>
      </c>
      <c r="C209" s="1" t="n">
        <v>46063</v>
      </c>
      <c r="D209" t="inlineStr">
        <is>
          <t>ÖREBRO LÄN</t>
        </is>
      </c>
      <c r="E209" t="inlineStr">
        <is>
          <t>LAXÅ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15650-2023</t>
        </is>
      </c>
      <c r="B210" s="1" t="n">
        <v>45021.38399305556</v>
      </c>
      <c r="C210" s="1" t="n">
        <v>46063</v>
      </c>
      <c r="D210" t="inlineStr">
        <is>
          <t>ÖREBRO LÄN</t>
        </is>
      </c>
      <c r="E210" t="inlineStr">
        <is>
          <t>LAXÅ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11139-2023</t>
        </is>
      </c>
      <c r="B211" s="1" t="n">
        <v>44987</v>
      </c>
      <c r="C211" s="1" t="n">
        <v>46063</v>
      </c>
      <c r="D211" t="inlineStr">
        <is>
          <t>ÖREBRO LÄN</t>
        </is>
      </c>
      <c r="E211" t="inlineStr">
        <is>
          <t>LAXÅ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18837-2025</t>
        </is>
      </c>
      <c r="B212" s="1" t="n">
        <v>45764.4008912037</v>
      </c>
      <c r="C212" s="1" t="n">
        <v>46063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54411-2022</t>
        </is>
      </c>
      <c r="B213" s="1" t="n">
        <v>44879</v>
      </c>
      <c r="C213" s="1" t="n">
        <v>46063</v>
      </c>
      <c r="D213" t="inlineStr">
        <is>
          <t>ÖREBRO LÄN</t>
        </is>
      </c>
      <c r="E213" t="inlineStr">
        <is>
          <t>LAXÅ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37003-2023</t>
        </is>
      </c>
      <c r="B214" s="1" t="n">
        <v>45155</v>
      </c>
      <c r="C214" s="1" t="n">
        <v>46063</v>
      </c>
      <c r="D214" t="inlineStr">
        <is>
          <t>ÖREBRO LÄN</t>
        </is>
      </c>
      <c r="E214" t="inlineStr">
        <is>
          <t>LAXÅ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33186-2023</t>
        </is>
      </c>
      <c r="B215" s="1" t="n">
        <v>45127.38172453704</v>
      </c>
      <c r="C215" s="1" t="n">
        <v>46063</v>
      </c>
      <c r="D215" t="inlineStr">
        <is>
          <t>ÖREBRO LÄN</t>
        </is>
      </c>
      <c r="E215" t="inlineStr">
        <is>
          <t>LAXÅ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34161-2021</t>
        </is>
      </c>
      <c r="B216" s="1" t="n">
        <v>44379.489375</v>
      </c>
      <c r="C216" s="1" t="n">
        <v>46063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14209-2025</t>
        </is>
      </c>
      <c r="B217" s="1" t="n">
        <v>45740.57917824074</v>
      </c>
      <c r="C217" s="1" t="n">
        <v>46063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15380-2025</t>
        </is>
      </c>
      <c r="B218" s="1" t="n">
        <v>45747.40925925926</v>
      </c>
      <c r="C218" s="1" t="n">
        <v>46063</v>
      </c>
      <c r="D218" t="inlineStr">
        <is>
          <t>ÖREBRO LÄN</t>
        </is>
      </c>
      <c r="E218" t="inlineStr">
        <is>
          <t>LAXÅ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13101-2025</t>
        </is>
      </c>
      <c r="B219" s="1" t="n">
        <v>45734</v>
      </c>
      <c r="C219" s="1" t="n">
        <v>46063</v>
      </c>
      <c r="D219" t="inlineStr">
        <is>
          <t>ÖREBRO LÄN</t>
        </is>
      </c>
      <c r="E219" t="inlineStr">
        <is>
          <t>LAXÅ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13102-2025</t>
        </is>
      </c>
      <c r="B220" s="1" t="n">
        <v>45734</v>
      </c>
      <c r="C220" s="1" t="n">
        <v>46063</v>
      </c>
      <c r="D220" t="inlineStr">
        <is>
          <t>ÖREBRO LÄN</t>
        </is>
      </c>
      <c r="E220" t="inlineStr">
        <is>
          <t>LAXÅ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48461-2025</t>
        </is>
      </c>
      <c r="B221" s="1" t="n">
        <v>45935.99478009259</v>
      </c>
      <c r="C221" s="1" t="n">
        <v>46063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57515-2023</t>
        </is>
      </c>
      <c r="B222" s="1" t="n">
        <v>45240</v>
      </c>
      <c r="C222" s="1" t="n">
        <v>46063</v>
      </c>
      <c r="D222" t="inlineStr">
        <is>
          <t>ÖREBRO LÄN</t>
        </is>
      </c>
      <c r="E222" t="inlineStr">
        <is>
          <t>LAXÅ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19816-2025</t>
        </is>
      </c>
      <c r="B223" s="1" t="n">
        <v>45771.45965277778</v>
      </c>
      <c r="C223" s="1" t="n">
        <v>46063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19820-2025</t>
        </is>
      </c>
      <c r="B224" s="1" t="n">
        <v>45771.46131944445</v>
      </c>
      <c r="C224" s="1" t="n">
        <v>46063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58052-2023</t>
        </is>
      </c>
      <c r="B225" s="1" t="n">
        <v>45245</v>
      </c>
      <c r="C225" s="1" t="n">
        <v>46063</v>
      </c>
      <c r="D225" t="inlineStr">
        <is>
          <t>ÖREBRO LÄN</t>
        </is>
      </c>
      <c r="E225" t="inlineStr">
        <is>
          <t>LAXÅ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49113-2025</t>
        </is>
      </c>
      <c r="B226" s="1" t="n">
        <v>45937.75980324074</v>
      </c>
      <c r="C226" s="1" t="n">
        <v>46063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62405-2021</t>
        </is>
      </c>
      <c r="B227" s="1" t="n">
        <v>44503</v>
      </c>
      <c r="C227" s="1" t="n">
        <v>46063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60748-2023</t>
        </is>
      </c>
      <c r="B228" s="1" t="n">
        <v>45260</v>
      </c>
      <c r="C228" s="1" t="n">
        <v>46063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15338-2025</t>
        </is>
      </c>
      <c r="B229" s="1" t="n">
        <v>45747.36502314815</v>
      </c>
      <c r="C229" s="1" t="n">
        <v>46063</v>
      </c>
      <c r="D229" t="inlineStr">
        <is>
          <t>ÖREBRO LÄN</t>
        </is>
      </c>
      <c r="E229" t="inlineStr">
        <is>
          <t>LAXÅ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14457-2025</t>
        </is>
      </c>
      <c r="B230" s="1" t="n">
        <v>45741.56659722222</v>
      </c>
      <c r="C230" s="1" t="n">
        <v>46063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46487-2021</t>
        </is>
      </c>
      <c r="B231" s="1" t="n">
        <v>44445.38759259259</v>
      </c>
      <c r="C231" s="1" t="n">
        <v>46063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49444-2025</t>
        </is>
      </c>
      <c r="B232" s="1" t="n">
        <v>45938.92496527778</v>
      </c>
      <c r="C232" s="1" t="n">
        <v>46063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49445-2025</t>
        </is>
      </c>
      <c r="B233" s="1" t="n">
        <v>45938.9259375</v>
      </c>
      <c r="C233" s="1" t="n">
        <v>46063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55207-2021</t>
        </is>
      </c>
      <c r="B234" s="1" t="n">
        <v>44475.36864583333</v>
      </c>
      <c r="C234" s="1" t="n">
        <v>46063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8533-2025</t>
        </is>
      </c>
      <c r="B235" s="1" t="n">
        <v>45709</v>
      </c>
      <c r="C235" s="1" t="n">
        <v>46063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36889-2021</t>
        </is>
      </c>
      <c r="B236" s="1" t="n">
        <v>44393.45215277778</v>
      </c>
      <c r="C236" s="1" t="n">
        <v>46063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57806-2021</t>
        </is>
      </c>
      <c r="B237" s="1" t="n">
        <v>44484</v>
      </c>
      <c r="C237" s="1" t="n">
        <v>46063</v>
      </c>
      <c r="D237" t="inlineStr">
        <is>
          <t>ÖREBRO LÄN</t>
        </is>
      </c>
      <c r="E237" t="inlineStr">
        <is>
          <t>LAXÅ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25744-2023</t>
        </is>
      </c>
      <c r="B238" s="1" t="n">
        <v>45090.43478009259</v>
      </c>
      <c r="C238" s="1" t="n">
        <v>46063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57747-2022</t>
        </is>
      </c>
      <c r="B239" s="1" t="n">
        <v>44897</v>
      </c>
      <c r="C239" s="1" t="n">
        <v>46063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38549-2024</t>
        </is>
      </c>
      <c r="B240" s="1" t="n">
        <v>45546.61100694445</v>
      </c>
      <c r="C240" s="1" t="n">
        <v>46063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42326-2023</t>
        </is>
      </c>
      <c r="B241" s="1" t="n">
        <v>45180</v>
      </c>
      <c r="C241" s="1" t="n">
        <v>46063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50700-2025</t>
        </is>
      </c>
      <c r="B242" s="1" t="n">
        <v>45945.99771990741</v>
      </c>
      <c r="C242" s="1" t="n">
        <v>46063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50701-2025</t>
        </is>
      </c>
      <c r="B243" s="1" t="n">
        <v>45945.99828703704</v>
      </c>
      <c r="C243" s="1" t="n">
        <v>46063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46134-2021</t>
        </is>
      </c>
      <c r="B244" s="1" t="n">
        <v>44441</v>
      </c>
      <c r="C244" s="1" t="n">
        <v>46063</v>
      </c>
      <c r="D244" t="inlineStr">
        <is>
          <t>ÖREBRO LÄN</t>
        </is>
      </c>
      <c r="E244" t="inlineStr">
        <is>
          <t>LAXÅ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56135-2022</t>
        </is>
      </c>
      <c r="B245" s="1" t="n">
        <v>44886</v>
      </c>
      <c r="C245" s="1" t="n">
        <v>46063</v>
      </c>
      <c r="D245" t="inlineStr">
        <is>
          <t>ÖREBRO LÄN</t>
        </is>
      </c>
      <c r="E245" t="inlineStr">
        <is>
          <t>LAXÅ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52751-2021</t>
        </is>
      </c>
      <c r="B246" s="1" t="n">
        <v>44467.32645833334</v>
      </c>
      <c r="C246" s="1" t="n">
        <v>46063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40425-2024</t>
        </is>
      </c>
      <c r="B247" s="1" t="n">
        <v>45555.46884259259</v>
      </c>
      <c r="C247" s="1" t="n">
        <v>46063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15213-2024</t>
        </is>
      </c>
      <c r="B248" s="1" t="n">
        <v>45400.45157407408</v>
      </c>
      <c r="C248" s="1" t="n">
        <v>46063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51462-2025</t>
        </is>
      </c>
      <c r="B249" s="1" t="n">
        <v>45950.6081712963</v>
      </c>
      <c r="C249" s="1" t="n">
        <v>46063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14205-2025</t>
        </is>
      </c>
      <c r="B250" s="1" t="n">
        <v>45740.57543981481</v>
      </c>
      <c r="C250" s="1" t="n">
        <v>46063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6305-2024</t>
        </is>
      </c>
      <c r="B251" s="1" t="n">
        <v>45338.35387731482</v>
      </c>
      <c r="C251" s="1" t="n">
        <v>46063</v>
      </c>
      <c r="D251" t="inlineStr">
        <is>
          <t>ÖREBRO LÄN</t>
        </is>
      </c>
      <c r="E251" t="inlineStr">
        <is>
          <t>LAXÅ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36420-2024</t>
        </is>
      </c>
      <c r="B252" s="1" t="n">
        <v>45536.64768518518</v>
      </c>
      <c r="C252" s="1" t="n">
        <v>46063</v>
      </c>
      <c r="D252" t="inlineStr">
        <is>
          <t>ÖREBRO LÄN</t>
        </is>
      </c>
      <c r="E252" t="inlineStr">
        <is>
          <t>LAXÅ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50265-2024</t>
        </is>
      </c>
      <c r="B253" s="1" t="n">
        <v>45600</v>
      </c>
      <c r="C253" s="1" t="n">
        <v>46063</v>
      </c>
      <c r="D253" t="inlineStr">
        <is>
          <t>ÖREBRO LÄN</t>
        </is>
      </c>
      <c r="E253" t="inlineStr">
        <is>
          <t>LAXÅ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41524-2024</t>
        </is>
      </c>
      <c r="B254" s="1" t="n">
        <v>45560.48070601852</v>
      </c>
      <c r="C254" s="1" t="n">
        <v>46063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53092-2025</t>
        </is>
      </c>
      <c r="B255" s="1" t="n">
        <v>45958.42094907408</v>
      </c>
      <c r="C255" s="1" t="n">
        <v>46063</v>
      </c>
      <c r="D255" t="inlineStr">
        <is>
          <t>ÖREBRO LÄN</t>
        </is>
      </c>
      <c r="E255" t="inlineStr">
        <is>
          <t>LAXÅ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33695-2023</t>
        </is>
      </c>
      <c r="B256" s="1" t="n">
        <v>45132.7075</v>
      </c>
      <c r="C256" s="1" t="n">
        <v>46063</v>
      </c>
      <c r="D256" t="inlineStr">
        <is>
          <t>ÖREBRO LÄN</t>
        </is>
      </c>
      <c r="E256" t="inlineStr">
        <is>
          <t>LAXÅ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38620-2023</t>
        </is>
      </c>
      <c r="B257" s="1" t="n">
        <v>45160</v>
      </c>
      <c r="C257" s="1" t="n">
        <v>46063</v>
      </c>
      <c r="D257" t="inlineStr">
        <is>
          <t>ÖREBRO LÄN</t>
        </is>
      </c>
      <c r="E257" t="inlineStr">
        <is>
          <t>LAXÅ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49885-2024</t>
        </is>
      </c>
      <c r="B258" s="1" t="n">
        <v>45597.51060185185</v>
      </c>
      <c r="C258" s="1" t="n">
        <v>46063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7132-2024</t>
        </is>
      </c>
      <c r="B259" s="1" t="n">
        <v>45344.3665625</v>
      </c>
      <c r="C259" s="1" t="n">
        <v>46063</v>
      </c>
      <c r="D259" t="inlineStr">
        <is>
          <t>ÖREBRO LÄN</t>
        </is>
      </c>
      <c r="E259" t="inlineStr">
        <is>
          <t>LAXÅ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61051-2023</t>
        </is>
      </c>
      <c r="B260" s="1" t="n">
        <v>45261</v>
      </c>
      <c r="C260" s="1" t="n">
        <v>46063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9312-2024</t>
        </is>
      </c>
      <c r="B261" s="1" t="n">
        <v>45358</v>
      </c>
      <c r="C261" s="1" t="n">
        <v>46063</v>
      </c>
      <c r="D261" t="inlineStr">
        <is>
          <t>ÖREBRO LÄN</t>
        </is>
      </c>
      <c r="E261" t="inlineStr">
        <is>
          <t>LAXÅ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63630-2021</t>
        </is>
      </c>
      <c r="B262" s="1" t="n">
        <v>44496</v>
      </c>
      <c r="C262" s="1" t="n">
        <v>46063</v>
      </c>
      <c r="D262" t="inlineStr">
        <is>
          <t>ÖREBRO LÄN</t>
        </is>
      </c>
      <c r="E262" t="inlineStr">
        <is>
          <t>LAXÅ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6178-2024</t>
        </is>
      </c>
      <c r="B263" s="1" t="n">
        <v>45337.53797453704</v>
      </c>
      <c r="C263" s="1" t="n">
        <v>46063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14460-2025</t>
        </is>
      </c>
      <c r="B264" s="1" t="n">
        <v>45741.56847222222</v>
      </c>
      <c r="C264" s="1" t="n">
        <v>46063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55202-2025</t>
        </is>
      </c>
      <c r="B265" s="1" t="n">
        <v>45968.5665625</v>
      </c>
      <c r="C265" s="1" t="n">
        <v>46063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55117-2025</t>
        </is>
      </c>
      <c r="B266" s="1" t="n">
        <v>45968.38842592593</v>
      </c>
      <c r="C266" s="1" t="n">
        <v>46063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38633-2023</t>
        </is>
      </c>
      <c r="B267" s="1" t="n">
        <v>45160</v>
      </c>
      <c r="C267" s="1" t="n">
        <v>46063</v>
      </c>
      <c r="D267" t="inlineStr">
        <is>
          <t>ÖREBRO LÄN</t>
        </is>
      </c>
      <c r="E267" t="inlineStr">
        <is>
          <t>LAXÅ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54901-2025</t>
        </is>
      </c>
      <c r="B268" s="1" t="n">
        <v>45967.3659837963</v>
      </c>
      <c r="C268" s="1" t="n">
        <v>46063</v>
      </c>
      <c r="D268" t="inlineStr">
        <is>
          <t>ÖREBRO LÄN</t>
        </is>
      </c>
      <c r="E268" t="inlineStr">
        <is>
          <t>LAXÅ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33929-2023</t>
        </is>
      </c>
      <c r="B269" s="1" t="n">
        <v>45134.49677083334</v>
      </c>
      <c r="C269" s="1" t="n">
        <v>46063</v>
      </c>
      <c r="D269" t="inlineStr">
        <is>
          <t>ÖREBRO LÄN</t>
        </is>
      </c>
      <c r="E269" t="inlineStr">
        <is>
          <t>LAXÅ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38288-2023</t>
        </is>
      </c>
      <c r="B270" s="1" t="n">
        <v>45161.63891203704</v>
      </c>
      <c r="C270" s="1" t="n">
        <v>46063</v>
      </c>
      <c r="D270" t="inlineStr">
        <is>
          <t>ÖREBRO LÄN</t>
        </is>
      </c>
      <c r="E270" t="inlineStr">
        <is>
          <t>LAXÅ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39865-2024</t>
        </is>
      </c>
      <c r="B271" s="1" t="n">
        <v>45553.45989583333</v>
      </c>
      <c r="C271" s="1" t="n">
        <v>46063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48792-2024</t>
        </is>
      </c>
      <c r="B272" s="1" t="n">
        <v>45593</v>
      </c>
      <c r="C272" s="1" t="n">
        <v>46063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56801-2025</t>
        </is>
      </c>
      <c r="B273" s="1" t="n">
        <v>45978.43898148148</v>
      </c>
      <c r="C273" s="1" t="n">
        <v>46063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56668-2025</t>
        </is>
      </c>
      <c r="B274" s="1" t="n">
        <v>45975.69277777777</v>
      </c>
      <c r="C274" s="1" t="n">
        <v>46063</v>
      </c>
      <c r="D274" t="inlineStr">
        <is>
          <t>ÖREBRO LÄN</t>
        </is>
      </c>
      <c r="E274" t="inlineStr">
        <is>
          <t>LAXÅ</t>
        </is>
      </c>
      <c r="G274" t="n">
        <v>18.1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48790-2024</t>
        </is>
      </c>
      <c r="B275" s="1" t="n">
        <v>45593</v>
      </c>
      <c r="C275" s="1" t="n">
        <v>46063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57425-2025</t>
        </is>
      </c>
      <c r="B276" s="1" t="n">
        <v>45980.46274305556</v>
      </c>
      <c r="C276" s="1" t="n">
        <v>46063</v>
      </c>
      <c r="D276" t="inlineStr">
        <is>
          <t>ÖREBRO LÄN</t>
        </is>
      </c>
      <c r="E276" t="inlineStr">
        <is>
          <t>LAXÅ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11476-2023</t>
        </is>
      </c>
      <c r="B277" s="1" t="n">
        <v>44993</v>
      </c>
      <c r="C277" s="1" t="n">
        <v>46063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62454-2021</t>
        </is>
      </c>
      <c r="B278" s="1" t="n">
        <v>44503.52611111111</v>
      </c>
      <c r="C278" s="1" t="n">
        <v>46063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11477-2023</t>
        </is>
      </c>
      <c r="B279" s="1" t="n">
        <v>44993</v>
      </c>
      <c r="C279" s="1" t="n">
        <v>46063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48783-2024</t>
        </is>
      </c>
      <c r="B280" s="1" t="n">
        <v>45593</v>
      </c>
      <c r="C280" s="1" t="n">
        <v>46063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48788-2024</t>
        </is>
      </c>
      <c r="B281" s="1" t="n">
        <v>45593</v>
      </c>
      <c r="C281" s="1" t="n">
        <v>46063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57488-2025</t>
        </is>
      </c>
      <c r="B282" s="1" t="n">
        <v>45980.58049768519</v>
      </c>
      <c r="C282" s="1" t="n">
        <v>46063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67052-2021</t>
        </is>
      </c>
      <c r="B283" s="1" t="n">
        <v>44522</v>
      </c>
      <c r="C283" s="1" t="n">
        <v>46063</v>
      </c>
      <c r="D283" t="inlineStr">
        <is>
          <t>ÖREBRO LÄN</t>
        </is>
      </c>
      <c r="E283" t="inlineStr">
        <is>
          <t>LAXÅ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57423-2025</t>
        </is>
      </c>
      <c r="B284" s="1" t="n">
        <v>45980.45997685185</v>
      </c>
      <c r="C284" s="1" t="n">
        <v>46063</v>
      </c>
      <c r="D284" t="inlineStr">
        <is>
          <t>ÖREBRO LÄN</t>
        </is>
      </c>
      <c r="E284" t="inlineStr">
        <is>
          <t>LAXÅ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57645-2025</t>
        </is>
      </c>
      <c r="B285" s="1" t="n">
        <v>45981.37136574074</v>
      </c>
      <c r="C285" s="1" t="n">
        <v>46063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57646-2025</t>
        </is>
      </c>
      <c r="B286" s="1" t="n">
        <v>45981.37197916667</v>
      </c>
      <c r="C286" s="1" t="n">
        <v>46063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7932-2024</t>
        </is>
      </c>
      <c r="B287" s="1" t="n">
        <v>45349</v>
      </c>
      <c r="C287" s="1" t="n">
        <v>46063</v>
      </c>
      <c r="D287" t="inlineStr">
        <is>
          <t>ÖREBRO LÄN</t>
        </is>
      </c>
      <c r="E287" t="inlineStr">
        <is>
          <t>LAXÅ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58690-2025</t>
        </is>
      </c>
      <c r="B288" s="1" t="n">
        <v>45986.58210648148</v>
      </c>
      <c r="C288" s="1" t="n">
        <v>46063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598-2026</t>
        </is>
      </c>
      <c r="B289" s="1" t="n">
        <v>46029.50076388889</v>
      </c>
      <c r="C289" s="1" t="n">
        <v>46063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57670-2024</t>
        </is>
      </c>
      <c r="B290" s="1" t="n">
        <v>45630</v>
      </c>
      <c r="C290" s="1" t="n">
        <v>46063</v>
      </c>
      <c r="D290" t="inlineStr">
        <is>
          <t>ÖREBRO LÄN</t>
        </is>
      </c>
      <c r="E290" t="inlineStr">
        <is>
          <t>LAXÅ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49943-2024</t>
        </is>
      </c>
      <c r="B291" s="1" t="n">
        <v>45597.6003125</v>
      </c>
      <c r="C291" s="1" t="n">
        <v>46063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41853-2024</t>
        </is>
      </c>
      <c r="B292" s="1" t="n">
        <v>45561</v>
      </c>
      <c r="C292" s="1" t="n">
        <v>46063</v>
      </c>
      <c r="D292" t="inlineStr">
        <is>
          <t>ÖREBRO LÄN</t>
        </is>
      </c>
      <c r="E292" t="inlineStr">
        <is>
          <t>LAXÅ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1772-2026</t>
        </is>
      </c>
      <c r="B293" s="1" t="n">
        <v>46034.70686342593</v>
      </c>
      <c r="C293" s="1" t="n">
        <v>46063</v>
      </c>
      <c r="D293" t="inlineStr">
        <is>
          <t>ÖREBRO LÄN</t>
        </is>
      </c>
      <c r="E293" t="inlineStr">
        <is>
          <t>LAXÅ</t>
        </is>
      </c>
      <c r="F293" t="inlineStr">
        <is>
          <t>Allmännings- och besparingsskogar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55475-2024</t>
        </is>
      </c>
      <c r="B294" s="1" t="n">
        <v>45622.43645833333</v>
      </c>
      <c r="C294" s="1" t="n">
        <v>46063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50262-2024</t>
        </is>
      </c>
      <c r="B295" s="1" t="n">
        <v>45600.58674768519</v>
      </c>
      <c r="C295" s="1" t="n">
        <v>46063</v>
      </c>
      <c r="D295" t="inlineStr">
        <is>
          <t>ÖREBRO LÄN</t>
        </is>
      </c>
      <c r="E295" t="inlineStr">
        <is>
          <t>LAXÅ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59770-2025</t>
        </is>
      </c>
      <c r="B296" s="1" t="n">
        <v>45992.60303240741</v>
      </c>
      <c r="C296" s="1" t="n">
        <v>46063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1943-2026</t>
        </is>
      </c>
      <c r="B297" s="1" t="n">
        <v>46035.59490740741</v>
      </c>
      <c r="C297" s="1" t="n">
        <v>46063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1944-2026</t>
        </is>
      </c>
      <c r="B298" s="1" t="n">
        <v>46035.59541666666</v>
      </c>
      <c r="C298" s="1" t="n">
        <v>46063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2332-2026</t>
        </is>
      </c>
      <c r="B299" s="1" t="n">
        <v>46036.60891203704</v>
      </c>
      <c r="C299" s="1" t="n">
        <v>46063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2102-2026</t>
        </is>
      </c>
      <c r="B300" s="1" t="n">
        <v>46036.37450231481</v>
      </c>
      <c r="C300" s="1" t="n">
        <v>46063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2127-2026</t>
        </is>
      </c>
      <c r="B301" s="1" t="n">
        <v>46036.38921296296</v>
      </c>
      <c r="C301" s="1" t="n">
        <v>46063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60685-2025</t>
        </is>
      </c>
      <c r="B302" s="1" t="n">
        <v>45996.58229166667</v>
      </c>
      <c r="C302" s="1" t="n">
        <v>46063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60686-2025</t>
        </is>
      </c>
      <c r="B303" s="1" t="n">
        <v>45996.58486111111</v>
      </c>
      <c r="C303" s="1" t="n">
        <v>46063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60566-2025</t>
        </is>
      </c>
      <c r="B304" s="1" t="n">
        <v>45995.83008101852</v>
      </c>
      <c r="C304" s="1" t="n">
        <v>46063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60570-2025</t>
        </is>
      </c>
      <c r="B305" s="1" t="n">
        <v>45995.89465277778</v>
      </c>
      <c r="C305" s="1" t="n">
        <v>46063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49881-2024</t>
        </is>
      </c>
      <c r="B306" s="1" t="n">
        <v>45597.50105324074</v>
      </c>
      <c r="C306" s="1" t="n">
        <v>46063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13023-2024</t>
        </is>
      </c>
      <c r="B307" s="1" t="n">
        <v>45385.58478009259</v>
      </c>
      <c r="C307" s="1" t="n">
        <v>46063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41526-2024</t>
        </is>
      </c>
      <c r="B308" s="1" t="n">
        <v>45560</v>
      </c>
      <c r="C308" s="1" t="n">
        <v>46063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60870-2025</t>
        </is>
      </c>
      <c r="B309" s="1" t="n">
        <v>45999.54637731481</v>
      </c>
      <c r="C309" s="1" t="n">
        <v>46063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25563-2022</t>
        </is>
      </c>
      <c r="B310" s="1" t="n">
        <v>44732.63936342593</v>
      </c>
      <c r="C310" s="1" t="n">
        <v>46063</v>
      </c>
      <c r="D310" t="inlineStr">
        <is>
          <t>ÖREBRO LÄN</t>
        </is>
      </c>
      <c r="E310" t="inlineStr">
        <is>
          <t>LAXÅ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19809-2025</t>
        </is>
      </c>
      <c r="B311" s="1" t="n">
        <v>45771.45527777778</v>
      </c>
      <c r="C311" s="1" t="n">
        <v>46063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19813-2025</t>
        </is>
      </c>
      <c r="B312" s="1" t="n">
        <v>45771.45670138889</v>
      </c>
      <c r="C312" s="1" t="n">
        <v>46063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19835-2025</t>
        </is>
      </c>
      <c r="B313" s="1" t="n">
        <v>45771.47118055556</v>
      </c>
      <c r="C313" s="1" t="n">
        <v>46063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60869-2025</t>
        </is>
      </c>
      <c r="B314" s="1" t="n">
        <v>45999.54435185185</v>
      </c>
      <c r="C314" s="1" t="n">
        <v>46063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61091-2023</t>
        </is>
      </c>
      <c r="B315" s="1" t="n">
        <v>45261.6415625</v>
      </c>
      <c r="C315" s="1" t="n">
        <v>46063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6158-2025</t>
        </is>
      </c>
      <c r="B316" s="1" t="n">
        <v>45698</v>
      </c>
      <c r="C316" s="1" t="n">
        <v>46063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4417-2026</t>
        </is>
      </c>
      <c r="B317" s="1" t="n">
        <v>46045.60472222222</v>
      </c>
      <c r="C317" s="1" t="n">
        <v>46063</v>
      </c>
      <c r="D317" t="inlineStr">
        <is>
          <t>ÖREBRO LÄN</t>
        </is>
      </c>
      <c r="E317" t="inlineStr">
        <is>
          <t>LAXÅ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62029-2025</t>
        </is>
      </c>
      <c r="B318" s="1" t="n">
        <v>46003.76982638889</v>
      </c>
      <c r="C318" s="1" t="n">
        <v>46063</v>
      </c>
      <c r="D318" t="inlineStr">
        <is>
          <t>ÖREBRO LÄN</t>
        </is>
      </c>
      <c r="E318" t="inlineStr">
        <is>
          <t>LAXÅ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15736-2025</t>
        </is>
      </c>
      <c r="B319" s="1" t="n">
        <v>45748</v>
      </c>
      <c r="C319" s="1" t="n">
        <v>46063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37570-2023</t>
        </is>
      </c>
      <c r="B320" s="1" t="n">
        <v>45159.37641203704</v>
      </c>
      <c r="C320" s="1" t="n">
        <v>46063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5414-2026</t>
        </is>
      </c>
      <c r="B321" s="1" t="n">
        <v>46048</v>
      </c>
      <c r="C321" s="1" t="n">
        <v>46063</v>
      </c>
      <c r="D321" t="inlineStr">
        <is>
          <t>ÖREBRO LÄN</t>
        </is>
      </c>
      <c r="E321" t="inlineStr">
        <is>
          <t>LAXÅ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5421-2026</t>
        </is>
      </c>
      <c r="B322" s="1" t="n">
        <v>46048</v>
      </c>
      <c r="C322" s="1" t="n">
        <v>46063</v>
      </c>
      <c r="D322" t="inlineStr">
        <is>
          <t>ÖREBRO LÄN</t>
        </is>
      </c>
      <c r="E322" t="inlineStr">
        <is>
          <t>LAXÅ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34437-2022</t>
        </is>
      </c>
      <c r="B323" s="1" t="n">
        <v>44792</v>
      </c>
      <c r="C323" s="1" t="n">
        <v>46063</v>
      </c>
      <c r="D323" t="inlineStr">
        <is>
          <t>ÖREBRO LÄN</t>
        </is>
      </c>
      <c r="E323" t="inlineStr">
        <is>
          <t>LAXÅ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14462-2025</t>
        </is>
      </c>
      <c r="B324" s="1" t="n">
        <v>45741.56908564815</v>
      </c>
      <c r="C324" s="1" t="n">
        <v>46063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56022-2025</t>
        </is>
      </c>
      <c r="B325" s="1" t="n">
        <v>45973.59538194445</v>
      </c>
      <c r="C325" s="1" t="n">
        <v>46063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54640-2023</t>
        </is>
      </c>
      <c r="B326" s="1" t="n">
        <v>45234</v>
      </c>
      <c r="C326" s="1" t="n">
        <v>46063</v>
      </c>
      <c r="D326" t="inlineStr">
        <is>
          <t>ÖREBRO LÄN</t>
        </is>
      </c>
      <c r="E326" t="inlineStr">
        <is>
          <t>LAXÅ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15130-2025</t>
        </is>
      </c>
      <c r="B327" s="1" t="n">
        <v>45744.38372685185</v>
      </c>
      <c r="C327" s="1" t="n">
        <v>46063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42324-2023</t>
        </is>
      </c>
      <c r="B328" s="1" t="n">
        <v>45180</v>
      </c>
      <c r="C328" s="1" t="n">
        <v>46063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35130-2022</t>
        </is>
      </c>
      <c r="B329" s="1" t="n">
        <v>44797</v>
      </c>
      <c r="C329" s="1" t="n">
        <v>46063</v>
      </c>
      <c r="D329" t="inlineStr">
        <is>
          <t>ÖREBRO LÄN</t>
        </is>
      </c>
      <c r="E329" t="inlineStr">
        <is>
          <t>LAXÅ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5649-2026</t>
        </is>
      </c>
      <c r="B330" s="1" t="n">
        <v>46051.42962962963</v>
      </c>
      <c r="C330" s="1" t="n">
        <v>46063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19807-2025</t>
        </is>
      </c>
      <c r="B331" s="1" t="n">
        <v>45771.45430555556</v>
      </c>
      <c r="C331" s="1" t="n">
        <v>46063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5650-2026</t>
        </is>
      </c>
      <c r="B332" s="1" t="n">
        <v>46051.43072916667</v>
      </c>
      <c r="C332" s="1" t="n">
        <v>46063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6300-2024</t>
        </is>
      </c>
      <c r="B333" s="1" t="n">
        <v>45338.35049768518</v>
      </c>
      <c r="C333" s="1" t="n">
        <v>46063</v>
      </c>
      <c r="D333" t="inlineStr">
        <is>
          <t>ÖREBRO LÄN</t>
        </is>
      </c>
      <c r="E333" t="inlineStr">
        <is>
          <t>LAXÅ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60732-2023</t>
        </is>
      </c>
      <c r="B334" s="1" t="n">
        <v>45260</v>
      </c>
      <c r="C334" s="1" t="n">
        <v>46063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22927-2024</t>
        </is>
      </c>
      <c r="B335" s="1" t="n">
        <v>45448</v>
      </c>
      <c r="C335" s="1" t="n">
        <v>46063</v>
      </c>
      <c r="D335" t="inlineStr">
        <is>
          <t>ÖREBRO LÄN</t>
        </is>
      </c>
      <c r="E335" t="inlineStr">
        <is>
          <t>LAXÅ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555-2026</t>
        </is>
      </c>
      <c r="B336" s="1" t="n">
        <v>46029</v>
      </c>
      <c r="C336" s="1" t="n">
        <v>46063</v>
      </c>
      <c r="D336" t="inlineStr">
        <is>
          <t>ÖREBRO LÄN</t>
        </is>
      </c>
      <c r="E336" t="inlineStr">
        <is>
          <t>LAXÅ</t>
        </is>
      </c>
      <c r="F336" t="inlineStr">
        <is>
          <t>Kyrkan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52442-2022</t>
        </is>
      </c>
      <c r="B337" s="1" t="n">
        <v>44874.4575</v>
      </c>
      <c r="C337" s="1" t="n">
        <v>46063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517-2026</t>
        </is>
      </c>
      <c r="B338" s="1" t="n">
        <v>46029</v>
      </c>
      <c r="C338" s="1" t="n">
        <v>46063</v>
      </c>
      <c r="D338" t="inlineStr">
        <is>
          <t>ÖREBRO LÄN</t>
        </is>
      </c>
      <c r="E338" t="inlineStr">
        <is>
          <t>LAXÅ</t>
        </is>
      </c>
      <c r="F338" t="inlineStr">
        <is>
          <t>Kyrkan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542-2026</t>
        </is>
      </c>
      <c r="B339" s="1" t="n">
        <v>46029</v>
      </c>
      <c r="C339" s="1" t="n">
        <v>46063</v>
      </c>
      <c r="D339" t="inlineStr">
        <is>
          <t>ÖREBRO LÄN</t>
        </is>
      </c>
      <c r="E339" t="inlineStr">
        <is>
          <t>LAXÅ</t>
        </is>
      </c>
      <c r="F339" t="inlineStr">
        <is>
          <t>Kyrkan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34481-2022</t>
        </is>
      </c>
      <c r="B340" s="1" t="n">
        <v>44792</v>
      </c>
      <c r="C340" s="1" t="n">
        <v>46063</v>
      </c>
      <c r="D340" t="inlineStr">
        <is>
          <t>ÖREBRO LÄN</t>
        </is>
      </c>
      <c r="E340" t="inlineStr">
        <is>
          <t>LAXÅ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7137-2024</t>
        </is>
      </c>
      <c r="B341" s="1" t="n">
        <v>45344.37394675926</v>
      </c>
      <c r="C341" s="1" t="n">
        <v>46063</v>
      </c>
      <c r="D341" t="inlineStr">
        <is>
          <t>ÖREBRO LÄN</t>
        </is>
      </c>
      <c r="E341" t="inlineStr">
        <is>
          <t>LAXÅ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34585-2022</t>
        </is>
      </c>
      <c r="B342" s="1" t="n">
        <v>44795.3625925926</v>
      </c>
      <c r="C342" s="1" t="n">
        <v>46063</v>
      </c>
      <c r="D342" t="inlineStr">
        <is>
          <t>ÖREBRO LÄN</t>
        </is>
      </c>
      <c r="E342" t="inlineStr">
        <is>
          <t>LAXÅ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7247-2026</t>
        </is>
      </c>
      <c r="B343" s="1" t="n">
        <v>46058.59171296296</v>
      </c>
      <c r="C343" s="1" t="n">
        <v>46063</v>
      </c>
      <c r="D343" t="inlineStr">
        <is>
          <t>ÖREBRO LÄN</t>
        </is>
      </c>
      <c r="E343" t="inlineStr">
        <is>
          <t>LAXÅ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51822-2022</t>
        </is>
      </c>
      <c r="B344" s="1" t="n">
        <v>44872.56392361111</v>
      </c>
      <c r="C344" s="1" t="n">
        <v>46063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36567-2024</t>
        </is>
      </c>
      <c r="B345" s="1" t="n">
        <v>45537.4871412037</v>
      </c>
      <c r="C345" s="1" t="n">
        <v>46063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36544-2024</t>
        </is>
      </c>
      <c r="B346" s="1" t="n">
        <v>45537.46501157407</v>
      </c>
      <c r="C346" s="1" t="n">
        <v>46063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15641-2024</t>
        </is>
      </c>
      <c r="B347" s="1" t="n">
        <v>45403</v>
      </c>
      <c r="C347" s="1" t="n">
        <v>46063</v>
      </c>
      <c r="D347" t="inlineStr">
        <is>
          <t>ÖREBRO LÄN</t>
        </is>
      </c>
      <c r="E347" t="inlineStr">
        <is>
          <t>LAXÅ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15642-2024</t>
        </is>
      </c>
      <c r="B348" s="1" t="n">
        <v>45403</v>
      </c>
      <c r="C348" s="1" t="n">
        <v>46063</v>
      </c>
      <c r="D348" t="inlineStr">
        <is>
          <t>ÖREBRO LÄN</t>
        </is>
      </c>
      <c r="E348" t="inlineStr">
        <is>
          <t>LAXÅ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7130-2024</t>
        </is>
      </c>
      <c r="B349" s="1" t="n">
        <v>45344.35774305555</v>
      </c>
      <c r="C349" s="1" t="n">
        <v>46063</v>
      </c>
      <c r="D349" t="inlineStr">
        <is>
          <t>ÖREBRO LÄN</t>
        </is>
      </c>
      <c r="E349" t="inlineStr">
        <is>
          <t>LAXÅ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11291-2025</t>
        </is>
      </c>
      <c r="B350" s="1" t="n">
        <v>45726.42836805555</v>
      </c>
      <c r="C350" s="1" t="n">
        <v>46063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41512-2024</t>
        </is>
      </c>
      <c r="B351" s="1" t="n">
        <v>45560</v>
      </c>
      <c r="C351" s="1" t="n">
        <v>46063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36421-2024</t>
        </is>
      </c>
      <c r="B352" s="1" t="n">
        <v>45536.6512037037</v>
      </c>
      <c r="C352" s="1" t="n">
        <v>46063</v>
      </c>
      <c r="D352" t="inlineStr">
        <is>
          <t>ÖREBRO LÄN</t>
        </is>
      </c>
      <c r="E352" t="inlineStr">
        <is>
          <t>LAXÅ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62439-2021</t>
        </is>
      </c>
      <c r="B353" s="1" t="n">
        <v>44503.50170138889</v>
      </c>
      <c r="C353" s="1" t="n">
        <v>46063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3289-2025</t>
        </is>
      </c>
      <c r="B354" s="1" t="n">
        <v>45679.62376157408</v>
      </c>
      <c r="C354" s="1" t="n">
        <v>46063</v>
      </c>
      <c r="D354" t="inlineStr">
        <is>
          <t>ÖREBRO LÄN</t>
        </is>
      </c>
      <c r="E354" t="inlineStr">
        <is>
          <t>LAXÅ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6842-2022</t>
        </is>
      </c>
      <c r="B355" s="1" t="n">
        <v>44602.63045138889</v>
      </c>
      <c r="C355" s="1" t="n">
        <v>46063</v>
      </c>
      <c r="D355" t="inlineStr">
        <is>
          <t>ÖREBRO LÄN</t>
        </is>
      </c>
      <c r="E355" t="inlineStr">
        <is>
          <t>LAXÅ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59455-2022</t>
        </is>
      </c>
      <c r="B356" s="1" t="n">
        <v>44907.42807870371</v>
      </c>
      <c r="C356" s="1" t="n">
        <v>46063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3443-2023</t>
        </is>
      </c>
      <c r="B357" s="1" t="n">
        <v>44949.6052199074</v>
      </c>
      <c r="C357" s="1" t="n">
        <v>46063</v>
      </c>
      <c r="D357" t="inlineStr">
        <is>
          <t>ÖREBRO LÄN</t>
        </is>
      </c>
      <c r="E357" t="inlineStr">
        <is>
          <t>LAXÅ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44076-2024</t>
        </is>
      </c>
      <c r="B358" s="1" t="n">
        <v>45572.61414351852</v>
      </c>
      <c r="C358" s="1" t="n">
        <v>46063</v>
      </c>
      <c r="D358" t="inlineStr">
        <is>
          <t>ÖREBRO LÄN</t>
        </is>
      </c>
      <c r="E358" t="inlineStr">
        <is>
          <t>LAXÅ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59892-2021</t>
        </is>
      </c>
      <c r="B359" s="1" t="n">
        <v>44494</v>
      </c>
      <c r="C359" s="1" t="n">
        <v>46063</v>
      </c>
      <c r="D359" t="inlineStr">
        <is>
          <t>ÖREBRO LÄN</t>
        </is>
      </c>
      <c r="E359" t="inlineStr">
        <is>
          <t>LAXÅ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4771-2023</t>
        </is>
      </c>
      <c r="B360" s="1" t="n">
        <v>44957</v>
      </c>
      <c r="C360" s="1" t="n">
        <v>46063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4772-2023</t>
        </is>
      </c>
      <c r="B361" s="1" t="n">
        <v>44957</v>
      </c>
      <c r="C361" s="1" t="n">
        <v>46063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61046-2023</t>
        </is>
      </c>
      <c r="B362" s="1" t="n">
        <v>45261.58835648148</v>
      </c>
      <c r="C362" s="1" t="n">
        <v>46063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38552-2024</t>
        </is>
      </c>
      <c r="B363" s="1" t="n">
        <v>45546.6125925926</v>
      </c>
      <c r="C363" s="1" t="n">
        <v>46063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61677-2022</t>
        </is>
      </c>
      <c r="B364" s="1" t="n">
        <v>44917.35619212963</v>
      </c>
      <c r="C364" s="1" t="n">
        <v>46063</v>
      </c>
      <c r="D364" t="inlineStr">
        <is>
          <t>ÖREBRO LÄN</t>
        </is>
      </c>
      <c r="E364" t="inlineStr">
        <is>
          <t>LAXÅ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40815-2024</t>
        </is>
      </c>
      <c r="B365" s="1" t="n">
        <v>45558.55032407407</v>
      </c>
      <c r="C365" s="1" t="n">
        <v>46063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28860-2021</t>
        </is>
      </c>
      <c r="B366" s="1" t="n">
        <v>44357.68817129629</v>
      </c>
      <c r="C366" s="1" t="n">
        <v>46063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62594-2023</t>
        </is>
      </c>
      <c r="B367" s="1" t="n">
        <v>45271.2524537037</v>
      </c>
      <c r="C367" s="1" t="n">
        <v>46063</v>
      </c>
      <c r="D367" t="inlineStr">
        <is>
          <t>ÖREBRO LÄN</t>
        </is>
      </c>
      <c r="E367" t="inlineStr">
        <is>
          <t>LAXÅ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38564-2022</t>
        </is>
      </c>
      <c r="B368" s="1" t="n">
        <v>44813</v>
      </c>
      <c r="C368" s="1" t="n">
        <v>46063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54093-2023</t>
        </is>
      </c>
      <c r="B369" s="1" t="n">
        <v>45225</v>
      </c>
      <c r="C369" s="1" t="n">
        <v>46063</v>
      </c>
      <c r="D369" t="inlineStr">
        <is>
          <t>ÖREBRO LÄN</t>
        </is>
      </c>
      <c r="E369" t="inlineStr">
        <is>
          <t>LAXÅ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5917-2023</t>
        </is>
      </c>
      <c r="B370" s="1" t="n">
        <v>44963.68445601852</v>
      </c>
      <c r="C370" s="1" t="n">
        <v>46063</v>
      </c>
      <c r="D370" t="inlineStr">
        <is>
          <t>ÖREBRO LÄN</t>
        </is>
      </c>
      <c r="E370" t="inlineStr">
        <is>
          <t>LAXÅ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13021-2024</t>
        </is>
      </c>
      <c r="B371" s="1" t="n">
        <v>45385.58356481481</v>
      </c>
      <c r="C371" s="1" t="n">
        <v>46063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34535-2024</t>
        </is>
      </c>
      <c r="B372" s="1" t="n">
        <v>45525</v>
      </c>
      <c r="C372" s="1" t="n">
        <v>46063</v>
      </c>
      <c r="D372" t="inlineStr">
        <is>
          <t>ÖREBRO LÄN</t>
        </is>
      </c>
      <c r="E372" t="inlineStr">
        <is>
          <t>LAXÅ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14008-2024</t>
        </is>
      </c>
      <c r="B373" s="1" t="n">
        <v>45392.47633101852</v>
      </c>
      <c r="C373" s="1" t="n">
        <v>46063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54876-2024</t>
        </is>
      </c>
      <c r="B374" s="1" t="n">
        <v>45618.60305555556</v>
      </c>
      <c r="C374" s="1" t="n">
        <v>46063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28112-2022</t>
        </is>
      </c>
      <c r="B375" s="1" t="n">
        <v>44746.49515046296</v>
      </c>
      <c r="C375" s="1" t="n">
        <v>46063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21005-2024</t>
        </is>
      </c>
      <c r="B376" s="1" t="n">
        <v>45439</v>
      </c>
      <c r="C376" s="1" t="n">
        <v>46063</v>
      </c>
      <c r="D376" t="inlineStr">
        <is>
          <t>ÖREBRO LÄN</t>
        </is>
      </c>
      <c r="E376" t="inlineStr">
        <is>
          <t>LAXÅ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34218-2023</t>
        </is>
      </c>
      <c r="B377" s="1" t="n">
        <v>45126</v>
      </c>
      <c r="C377" s="1" t="n">
        <v>46063</v>
      </c>
      <c r="D377" t="inlineStr">
        <is>
          <t>ÖREBRO LÄN</t>
        </is>
      </c>
      <c r="E377" t="inlineStr">
        <is>
          <t>LAXÅ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34225-2023</t>
        </is>
      </c>
      <c r="B378" s="1" t="n">
        <v>45126</v>
      </c>
      <c r="C378" s="1" t="n">
        <v>46063</v>
      </c>
      <c r="D378" t="inlineStr">
        <is>
          <t>ÖREBRO LÄN</t>
        </is>
      </c>
      <c r="E378" t="inlineStr">
        <is>
          <t>LAXÅ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25602-2023</t>
        </is>
      </c>
      <c r="B379" s="1" t="n">
        <v>45089.6462962963</v>
      </c>
      <c r="C379" s="1" t="n">
        <v>46063</v>
      </c>
      <c r="D379" t="inlineStr">
        <is>
          <t>ÖREBRO LÄN</t>
        </is>
      </c>
      <c r="E379" t="inlineStr">
        <is>
          <t>LAXÅ</t>
        </is>
      </c>
      <c r="F379" t="inlineStr">
        <is>
          <t>Övriga statliga verk och myndigheter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38613-2023</t>
        </is>
      </c>
      <c r="B380" s="1" t="n">
        <v>45160</v>
      </c>
      <c r="C380" s="1" t="n">
        <v>46063</v>
      </c>
      <c r="D380" t="inlineStr">
        <is>
          <t>ÖREBRO LÄN</t>
        </is>
      </c>
      <c r="E380" t="inlineStr">
        <is>
          <t>LAXÅ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57497-2023</t>
        </is>
      </c>
      <c r="B381" s="1" t="n">
        <v>45240</v>
      </c>
      <c r="C381" s="1" t="n">
        <v>46063</v>
      </c>
      <c r="D381" t="inlineStr">
        <is>
          <t>ÖREBRO LÄN</t>
        </is>
      </c>
      <c r="E381" t="inlineStr">
        <is>
          <t>LAXÅ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57503-2023</t>
        </is>
      </c>
      <c r="B382" s="1" t="n">
        <v>45240</v>
      </c>
      <c r="C382" s="1" t="n">
        <v>46063</v>
      </c>
      <c r="D382" t="inlineStr">
        <is>
          <t>ÖREBRO LÄN</t>
        </is>
      </c>
      <c r="E382" t="inlineStr">
        <is>
          <t>LAXÅ</t>
        </is>
      </c>
      <c r="G382" t="n">
        <v>11.5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54511-2023</t>
        </is>
      </c>
      <c r="B383" s="1" t="n">
        <v>45233.5592824074</v>
      </c>
      <c r="C383" s="1" t="n">
        <v>46063</v>
      </c>
      <c r="D383" t="inlineStr">
        <is>
          <t>ÖREBRO LÄN</t>
        </is>
      </c>
      <c r="E383" t="inlineStr">
        <is>
          <t>LAXÅ</t>
        </is>
      </c>
      <c r="F383" t="inlineStr">
        <is>
          <t>Övriga statliga verk och myndigheter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8530-2025</t>
        </is>
      </c>
      <c r="B384" s="1" t="n">
        <v>45709</v>
      </c>
      <c r="C384" s="1" t="n">
        <v>46063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33930-2023</t>
        </is>
      </c>
      <c r="B385" s="1" t="n">
        <v>45134.49881944444</v>
      </c>
      <c r="C385" s="1" t="n">
        <v>46063</v>
      </c>
      <c r="D385" t="inlineStr">
        <is>
          <t>ÖREBRO LÄN</t>
        </is>
      </c>
      <c r="E385" t="inlineStr">
        <is>
          <t>LAXÅ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18835-2025</t>
        </is>
      </c>
      <c r="B386" s="1" t="n">
        <v>45764.39592592593</v>
      </c>
      <c r="C386" s="1" t="n">
        <v>46063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55486-2024</t>
        </is>
      </c>
      <c r="B387" s="1" t="n">
        <v>45622.44341435185</v>
      </c>
      <c r="C387" s="1" t="n">
        <v>46063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31189-2024</t>
        </is>
      </c>
      <c r="B388" s="1" t="n">
        <v>45503</v>
      </c>
      <c r="C388" s="1" t="n">
        <v>46063</v>
      </c>
      <c r="D388" t="inlineStr">
        <is>
          <t>ÖREBRO LÄN</t>
        </is>
      </c>
      <c r="E388" t="inlineStr">
        <is>
          <t>LAXÅ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31190-2024</t>
        </is>
      </c>
      <c r="B389" s="1" t="n">
        <v>45503</v>
      </c>
      <c r="C389" s="1" t="n">
        <v>46063</v>
      </c>
      <c r="D389" t="inlineStr">
        <is>
          <t>ÖREBRO LÄN</t>
        </is>
      </c>
      <c r="E389" t="inlineStr">
        <is>
          <t>LAXÅ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21548-2024</t>
        </is>
      </c>
      <c r="B390" s="1" t="n">
        <v>45441.62837962963</v>
      </c>
      <c r="C390" s="1" t="n">
        <v>46063</v>
      </c>
      <c r="D390" t="inlineStr">
        <is>
          <t>ÖREBRO LÄN</t>
        </is>
      </c>
      <c r="E390" t="inlineStr">
        <is>
          <t>LAXÅ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40524-2024</t>
        </is>
      </c>
      <c r="B391" s="1" t="n">
        <v>45555</v>
      </c>
      <c r="C391" s="1" t="n">
        <v>46063</v>
      </c>
      <c r="D391" t="inlineStr">
        <is>
          <t>ÖREBRO LÄN</t>
        </is>
      </c>
      <c r="E391" t="inlineStr">
        <is>
          <t>LAXÅ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34567-2024</t>
        </is>
      </c>
      <c r="B392" s="1" t="n">
        <v>45525</v>
      </c>
      <c r="C392" s="1" t="n">
        <v>46063</v>
      </c>
      <c r="D392" t="inlineStr">
        <is>
          <t>ÖREBRO LÄN</t>
        </is>
      </c>
      <c r="E392" t="inlineStr">
        <is>
          <t>LAXÅ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55476-2024</t>
        </is>
      </c>
      <c r="B393" s="1" t="n">
        <v>45622.43747685185</v>
      </c>
      <c r="C393" s="1" t="n">
        <v>46063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55481-2024</t>
        </is>
      </c>
      <c r="B394" s="1" t="n">
        <v>45622.44200231481</v>
      </c>
      <c r="C394" s="1" t="n">
        <v>46063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55484-2024</t>
        </is>
      </c>
      <c r="B395" s="1" t="n">
        <v>45622.44274305556</v>
      </c>
      <c r="C395" s="1" t="n">
        <v>46063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48782-2024</t>
        </is>
      </c>
      <c r="B396" s="1" t="n">
        <v>45593</v>
      </c>
      <c r="C396" s="1" t="n">
        <v>46063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10496-2024</t>
        </is>
      </c>
      <c r="B397" s="1" t="n">
        <v>45366.46909722222</v>
      </c>
      <c r="C397" s="1" t="n">
        <v>46063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13104-2025</t>
        </is>
      </c>
      <c r="B398" s="1" t="n">
        <v>45734</v>
      </c>
      <c r="C398" s="1" t="n">
        <v>46063</v>
      </c>
      <c r="D398" t="inlineStr">
        <is>
          <t>ÖREBRO LÄN</t>
        </is>
      </c>
      <c r="E398" t="inlineStr">
        <is>
          <t>LAXÅ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60392-2023</t>
        </is>
      </c>
      <c r="B399" s="1" t="n">
        <v>45259.4353587963</v>
      </c>
      <c r="C399" s="1" t="n">
        <v>46063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12651-2024</t>
        </is>
      </c>
      <c r="B400" s="1" t="n">
        <v>45384</v>
      </c>
      <c r="C400" s="1" t="n">
        <v>46063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40151-2024</t>
        </is>
      </c>
      <c r="B401" s="1" t="n">
        <v>45554</v>
      </c>
      <c r="C401" s="1" t="n">
        <v>46063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43675-2024</t>
        </is>
      </c>
      <c r="B402" s="1" t="n">
        <v>45569</v>
      </c>
      <c r="C402" s="1" t="n">
        <v>46063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6452-2024</t>
        </is>
      </c>
      <c r="B403" s="1" t="n">
        <v>45338</v>
      </c>
      <c r="C403" s="1" t="n">
        <v>46063</v>
      </c>
      <c r="D403" t="inlineStr">
        <is>
          <t>ÖREBRO LÄN</t>
        </is>
      </c>
      <c r="E403" t="inlineStr">
        <is>
          <t>LAXÅ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26412-2023</t>
        </is>
      </c>
      <c r="B404" s="1" t="n">
        <v>45092.37815972222</v>
      </c>
      <c r="C404" s="1" t="n">
        <v>46063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12964-2025</t>
        </is>
      </c>
      <c r="B405" s="1" t="n">
        <v>45734.4234375</v>
      </c>
      <c r="C405" s="1" t="n">
        <v>46063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14580-2025</t>
        </is>
      </c>
      <c r="B406" s="1" t="n">
        <v>45742.30726851852</v>
      </c>
      <c r="C406" s="1" t="n">
        <v>46063</v>
      </c>
      <c r="D406" t="inlineStr">
        <is>
          <t>ÖREBRO LÄN</t>
        </is>
      </c>
      <c r="E406" t="inlineStr">
        <is>
          <t>LAXÅ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41601-2023</t>
        </is>
      </c>
      <c r="B407" s="1" t="n">
        <v>45175</v>
      </c>
      <c r="C407" s="1" t="n">
        <v>46063</v>
      </c>
      <c r="D407" t="inlineStr">
        <is>
          <t>ÖREBRO LÄN</t>
        </is>
      </c>
      <c r="E407" t="inlineStr">
        <is>
          <t>LAXÅ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14454-2025</t>
        </is>
      </c>
      <c r="B408" s="1" t="n">
        <v>45741.56476851852</v>
      </c>
      <c r="C408" s="1" t="n">
        <v>46063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50402-2023</t>
        </is>
      </c>
      <c r="B409" s="1" t="n">
        <v>45216</v>
      </c>
      <c r="C409" s="1" t="n">
        <v>46063</v>
      </c>
      <c r="D409" t="inlineStr">
        <is>
          <t>ÖREBRO LÄN</t>
        </is>
      </c>
      <c r="E409" t="inlineStr">
        <is>
          <t>LAXÅ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21474-2025</t>
        </is>
      </c>
      <c r="B410" s="1" t="n">
        <v>45782.5905324074</v>
      </c>
      <c r="C410" s="1" t="n">
        <v>46063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21311-2025</t>
        </is>
      </c>
      <c r="B411" s="1" t="n">
        <v>45781.90659722222</v>
      </c>
      <c r="C411" s="1" t="n">
        <v>46063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21212-2023</t>
        </is>
      </c>
      <c r="B412" s="1" t="n">
        <v>45062</v>
      </c>
      <c r="C412" s="1" t="n">
        <v>46063</v>
      </c>
      <c r="D412" t="inlineStr">
        <is>
          <t>ÖREBRO LÄN</t>
        </is>
      </c>
      <c r="E412" t="inlineStr">
        <is>
          <t>LAXÅ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6299-2024</t>
        </is>
      </c>
      <c r="B413" s="1" t="n">
        <v>45338.34609953704</v>
      </c>
      <c r="C413" s="1" t="n">
        <v>46063</v>
      </c>
      <c r="D413" t="inlineStr">
        <is>
          <t>ÖREBRO LÄN</t>
        </is>
      </c>
      <c r="E413" t="inlineStr">
        <is>
          <t>LAXÅ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22381-2025</t>
        </is>
      </c>
      <c r="B414" s="1" t="n">
        <v>45786</v>
      </c>
      <c r="C414" s="1" t="n">
        <v>46063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22382-2025</t>
        </is>
      </c>
      <c r="B415" s="1" t="n">
        <v>45786.49619212963</v>
      </c>
      <c r="C415" s="1" t="n">
        <v>46063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25838-2024</t>
        </is>
      </c>
      <c r="B416" s="1" t="n">
        <v>45467.42864583333</v>
      </c>
      <c r="C416" s="1" t="n">
        <v>46063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22564-2025</t>
        </is>
      </c>
      <c r="B417" s="1" t="n">
        <v>45789.35614583334</v>
      </c>
      <c r="C417" s="1" t="n">
        <v>46063</v>
      </c>
      <c r="D417" t="inlineStr">
        <is>
          <t>ÖREBRO LÄN</t>
        </is>
      </c>
      <c r="E417" t="inlineStr">
        <is>
          <t>LAXÅ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23234-2025</t>
        </is>
      </c>
      <c r="B418" s="1" t="n">
        <v>45791.49327546296</v>
      </c>
      <c r="C418" s="1" t="n">
        <v>46063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9.300000000000001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23238-2025</t>
        </is>
      </c>
      <c r="B419" s="1" t="n">
        <v>45791.49697916667</v>
      </c>
      <c r="C419" s="1" t="n">
        <v>46063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23239-2025</t>
        </is>
      </c>
      <c r="B420" s="1" t="n">
        <v>45791.49789351852</v>
      </c>
      <c r="C420" s="1" t="n">
        <v>46063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23224-2025</t>
        </is>
      </c>
      <c r="B421" s="1" t="n">
        <v>45791.48628472222</v>
      </c>
      <c r="C421" s="1" t="n">
        <v>46063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53545-2023</t>
        </is>
      </c>
      <c r="B422" s="1" t="n">
        <v>45230</v>
      </c>
      <c r="C422" s="1" t="n">
        <v>46063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18845-2023</t>
        </is>
      </c>
      <c r="B423" s="1" t="n">
        <v>45042</v>
      </c>
      <c r="C423" s="1" t="n">
        <v>46063</v>
      </c>
      <c r="D423" t="inlineStr">
        <is>
          <t>ÖREBRO LÄN</t>
        </is>
      </c>
      <c r="E423" t="inlineStr">
        <is>
          <t>LAXÅ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25388-2025</t>
        </is>
      </c>
      <c r="B424" s="1" t="n">
        <v>45800.64457175926</v>
      </c>
      <c r="C424" s="1" t="n">
        <v>46063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24911-2025</t>
        </is>
      </c>
      <c r="B425" s="1" t="n">
        <v>45799.53796296296</v>
      </c>
      <c r="C425" s="1" t="n">
        <v>46063</v>
      </c>
      <c r="D425" t="inlineStr">
        <is>
          <t>ÖREBRO LÄN</t>
        </is>
      </c>
      <c r="E425" t="inlineStr">
        <is>
          <t>LAXÅ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24908-2025</t>
        </is>
      </c>
      <c r="B426" s="1" t="n">
        <v>45799.53336805556</v>
      </c>
      <c r="C426" s="1" t="n">
        <v>46063</v>
      </c>
      <c r="D426" t="inlineStr">
        <is>
          <t>ÖREBRO LÄN</t>
        </is>
      </c>
      <c r="E426" t="inlineStr">
        <is>
          <t>LAXÅ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25172-2025</t>
        </is>
      </c>
      <c r="B427" s="1" t="n">
        <v>45800.445</v>
      </c>
      <c r="C427" s="1" t="n">
        <v>46063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56555-2024</t>
        </is>
      </c>
      <c r="B428" s="1" t="n">
        <v>45625.57818287037</v>
      </c>
      <c r="C428" s="1" t="n">
        <v>46063</v>
      </c>
      <c r="D428" t="inlineStr">
        <is>
          <t>ÖREBRO LÄN</t>
        </is>
      </c>
      <c r="E428" t="inlineStr">
        <is>
          <t>LAXÅ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2026-02-10T11:01:37Z</dcterms:created>
  <dcterms:modified xmlns:dcterms="http://purl.org/dc/terms/" xmlns:xsi="http://www.w3.org/2001/XMLSchema-instance" xsi:type="dcterms:W3CDTF">2026-02-10T11:01:37Z</dcterms:modified>
</cp:coreProperties>
</file>