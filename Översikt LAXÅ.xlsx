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46201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7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Hållav
Kattfotslav
Motaggsvamp
Talltita
Tretåig hackspett
Björksplintborre
Blåmossa
Bronshjon
Kornknutmossa
Rostfläck
Thomsons trägnagare
Vågbandad barkbock
Spillkråka
Tjäder
Gröngöling
Nattviol
Revlummer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22875-2026</t>
        </is>
      </c>
      <c r="B3" s="1" t="n">
        <v>46160</v>
      </c>
      <c r="C3" s="1" t="n">
        <v>46201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8.1</v>
      </c>
      <c r="H3" t="n">
        <v>5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10</v>
      </c>
      <c r="R3" s="2" t="inlineStr">
        <is>
          <t>Talltita
Älg
Björksplintborre
Bronshjon
Mindre märgborre
Vågbandad barkbock
Mattlummer
Spillkråka
Tjäder
Revlummer</t>
        </is>
      </c>
      <c r="S3">
        <f>HYPERLINK("https://klasma.github.io/Logging_1860/artfynd/A 22875-2026 artfynd.xlsx", "A 22875-2026")</f>
        <v/>
      </c>
      <c r="T3">
        <f>HYPERLINK("https://klasma.github.io/Logging_1860/kartor/A 22875-2026 karta.png", "A 22875-2026")</f>
        <v/>
      </c>
      <c r="V3">
        <f>HYPERLINK("https://klasma.github.io/Logging_1860/klagomål/A 22875-2026 FSC-klagomål.docx", "A 22875-2026")</f>
        <v/>
      </c>
      <c r="W3">
        <f>HYPERLINK("https://klasma.github.io/Logging_1860/klagomålsmail/A 22875-2026 FSC-klagomål mail.docx", "A 22875-2026")</f>
        <v/>
      </c>
      <c r="X3">
        <f>HYPERLINK("https://klasma.github.io/Logging_1860/tillsyn/A 22875-2026 tillsynsbegäran.docx", "A 22875-2026")</f>
        <v/>
      </c>
      <c r="Y3">
        <f>HYPERLINK("https://klasma.github.io/Logging_1860/tillsynsmail/A 22875-2026 tillsynsbegäran mail.docx", "A 22875-2026")</f>
        <v/>
      </c>
      <c r="Z3">
        <f>HYPERLINK("https://klasma.github.io/Logging_1860/fåglar/A 22875-2026 prioriterade fågelarter.docx", "A 22875-2026")</f>
        <v/>
      </c>
    </row>
    <row r="4" ht="15" customHeight="1">
      <c r="A4" t="inlineStr">
        <is>
          <t>A 59606-2023</t>
        </is>
      </c>
      <c r="B4" s="1" t="n">
        <v>45254</v>
      </c>
      <c r="C4" s="1" t="n">
        <v>46201</v>
      </c>
      <c r="D4" t="inlineStr">
        <is>
          <t>ÖREBRO LÄN</t>
        </is>
      </c>
      <c r="E4" t="inlineStr">
        <is>
          <t>LAXÅ</t>
        </is>
      </c>
      <c r="G4" t="n">
        <v>2.8</v>
      </c>
      <c r="H4" t="n">
        <v>6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Björksplintborre
Thomsons trägnagare
Spillkråka
Buskskvätta
Grönsiska
Kungsfågel
Ärtsångare</t>
        </is>
      </c>
      <c r="S4">
        <f>HYPERLINK("https://klasma.github.io/Logging_1860/artfynd/A 59606-2023 artfynd.xlsx", "A 59606-2023")</f>
        <v/>
      </c>
      <c r="T4">
        <f>HYPERLINK("https://klasma.github.io/Logging_1860/kartor/A 59606-2023 karta.png", "A 59606-2023")</f>
        <v/>
      </c>
      <c r="V4">
        <f>HYPERLINK("https://klasma.github.io/Logging_1860/klagomål/A 59606-2023 FSC-klagomål.docx", "A 59606-2023")</f>
        <v/>
      </c>
      <c r="W4">
        <f>HYPERLINK("https://klasma.github.io/Logging_1860/klagomålsmail/A 59606-2023 FSC-klagomål mail.docx", "A 59606-2023")</f>
        <v/>
      </c>
      <c r="X4">
        <f>HYPERLINK("https://klasma.github.io/Logging_1860/tillsyn/A 59606-2023 tillsynsbegäran.docx", "A 59606-2023")</f>
        <v/>
      </c>
      <c r="Y4">
        <f>HYPERLINK("https://klasma.github.io/Logging_1860/tillsynsmail/A 59606-2023 tillsynsbegäran mail.docx", "A 59606-2023")</f>
        <v/>
      </c>
      <c r="Z4">
        <f>HYPERLINK("https://klasma.github.io/Logging_1860/fåglar/A 59606-2023 prioriterade fågelarter.docx", "A 59606-2023")</f>
        <v/>
      </c>
    </row>
    <row r="5" ht="15" customHeight="1">
      <c r="A5" t="inlineStr">
        <is>
          <t>A 60589-2025</t>
        </is>
      </c>
      <c r="B5" s="1" t="n">
        <v>45996</v>
      </c>
      <c r="C5" s="1" t="n">
        <v>46201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6.1</v>
      </c>
      <c r="H5" t="n">
        <v>4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Dropptaggsvamp
Tretåig hackspett
Bronshjon
Thomsons trägnagare
Vågbandad barkbock
Mattlummer
Spillkråka
Tjäder</t>
        </is>
      </c>
      <c r="S5">
        <f>HYPERLINK("https://klasma.github.io/Logging_1860/artfynd/A 60589-2025 artfynd.xlsx", "A 60589-2025")</f>
        <v/>
      </c>
      <c r="T5">
        <f>HYPERLINK("https://klasma.github.io/Logging_1860/kartor/A 60589-2025 karta.png", "A 60589-2025")</f>
        <v/>
      </c>
      <c r="V5">
        <f>HYPERLINK("https://klasma.github.io/Logging_1860/klagomål/A 60589-2025 FSC-klagomål.docx", "A 60589-2025")</f>
        <v/>
      </c>
      <c r="W5">
        <f>HYPERLINK("https://klasma.github.io/Logging_1860/klagomålsmail/A 60589-2025 FSC-klagomål mail.docx", "A 60589-2025")</f>
        <v/>
      </c>
      <c r="X5">
        <f>HYPERLINK("https://klasma.github.io/Logging_1860/tillsyn/A 60589-2025 tillsynsbegäran.docx", "A 60589-2025")</f>
        <v/>
      </c>
      <c r="Y5">
        <f>HYPERLINK("https://klasma.github.io/Logging_1860/tillsynsmail/A 60589-2025 tillsynsbegäran mail.docx", "A 60589-2025")</f>
        <v/>
      </c>
      <c r="Z5">
        <f>HYPERLINK("https://klasma.github.io/Logging_1860/fåglar/A 60589-2025 prioriterade fågelarter.docx", "A 60589-2025")</f>
        <v/>
      </c>
    </row>
    <row r="6" ht="15" customHeight="1">
      <c r="A6" t="inlineStr">
        <is>
          <t>A 50765-2022</t>
        </is>
      </c>
      <c r="B6" s="1" t="n">
        <v>44867</v>
      </c>
      <c r="C6" s="1" t="n">
        <v>46201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2.9</v>
      </c>
      <c r="H6" t="n">
        <v>5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Fjällig taggsvamp s.str.
Tretåig hackspett
Vågbandad barkbock
Mattlummer
Spillkråka
Tjäder
Revlummer</t>
        </is>
      </c>
      <c r="S6">
        <f>HYPERLINK("https://klasma.github.io/Logging_1860/artfynd/A 50765-2022 artfynd.xlsx", "A 50765-2022")</f>
        <v/>
      </c>
      <c r="T6">
        <f>HYPERLINK("https://klasma.github.io/Logging_1860/kartor/A 50765-2022 karta.png", "A 50765-2022")</f>
        <v/>
      </c>
      <c r="V6">
        <f>HYPERLINK("https://klasma.github.io/Logging_1860/klagomål/A 50765-2022 FSC-klagomål.docx", "A 50765-2022")</f>
        <v/>
      </c>
      <c r="W6">
        <f>HYPERLINK("https://klasma.github.io/Logging_1860/klagomålsmail/A 50765-2022 FSC-klagomål mail.docx", "A 50765-2022")</f>
        <v/>
      </c>
      <c r="X6">
        <f>HYPERLINK("https://klasma.github.io/Logging_1860/tillsyn/A 50765-2022 tillsynsbegäran.docx", "A 50765-2022")</f>
        <v/>
      </c>
      <c r="Y6">
        <f>HYPERLINK("https://klasma.github.io/Logging_1860/tillsynsmail/A 50765-2022 tillsynsbegäran mail.docx", "A 50765-2022")</f>
        <v/>
      </c>
      <c r="Z6">
        <f>HYPERLINK("https://klasma.github.io/Logging_1860/fåglar/A 50765-2022 prioriterade fågelarter.docx", "A 50765-2022")</f>
        <v/>
      </c>
    </row>
    <row r="7" ht="15" customHeight="1">
      <c r="A7" t="inlineStr">
        <is>
          <t>A 54304-2022</t>
        </is>
      </c>
      <c r="B7" s="1" t="n">
        <v>44882</v>
      </c>
      <c r="C7" s="1" t="n">
        <v>46201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4.1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Dropptaggsvamp
Björksplintborre
Bronshjon
Spillkråka
Tjäder
Orre</t>
        </is>
      </c>
      <c r="S7">
        <f>HYPERLINK("https://klasma.github.io/Logging_1860/artfynd/A 54304-2022 artfynd.xlsx", "A 54304-2022")</f>
        <v/>
      </c>
      <c r="T7">
        <f>HYPERLINK("https://klasma.github.io/Logging_1860/kartor/A 54304-2022 karta.png", "A 54304-2022")</f>
        <v/>
      </c>
      <c r="V7">
        <f>HYPERLINK("https://klasma.github.io/Logging_1860/klagomål/A 54304-2022 FSC-klagomål.docx", "A 54304-2022")</f>
        <v/>
      </c>
      <c r="W7">
        <f>HYPERLINK("https://klasma.github.io/Logging_1860/klagomålsmail/A 54304-2022 FSC-klagomål mail.docx", "A 54304-2022")</f>
        <v/>
      </c>
      <c r="X7">
        <f>HYPERLINK("https://klasma.github.io/Logging_1860/tillsyn/A 54304-2022 tillsynsbegäran.docx", "A 54304-2022")</f>
        <v/>
      </c>
      <c r="Y7">
        <f>HYPERLINK("https://klasma.github.io/Logging_1860/tillsynsmail/A 54304-2022 tillsynsbegäran mail.docx", "A 54304-2022")</f>
        <v/>
      </c>
      <c r="Z7">
        <f>HYPERLINK("https://klasma.github.io/Logging_1860/fåglar/A 54304-2022 prioriterade fågelarter.docx", "A 54304-2022")</f>
        <v/>
      </c>
    </row>
    <row r="8" ht="15" customHeight="1">
      <c r="A8" t="inlineStr">
        <is>
          <t>A 57488-2025</t>
        </is>
      </c>
      <c r="B8" s="1" t="n">
        <v>45980</v>
      </c>
      <c r="C8" s="1" t="n">
        <v>46201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1.4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Garnlav
Brunpudrad nållav
Kattfotslav
Vedtrappmossa
Gulnål
Tjäder</t>
        </is>
      </c>
      <c r="S8">
        <f>HYPERLINK("https://klasma.github.io/Logging_1860/artfynd/A 57488-2025 artfynd.xlsx", "A 57488-2025")</f>
        <v/>
      </c>
      <c r="T8">
        <f>HYPERLINK("https://klasma.github.io/Logging_1860/kartor/A 57488-2025 karta.png", "A 57488-2025")</f>
        <v/>
      </c>
      <c r="V8">
        <f>HYPERLINK("https://klasma.github.io/Logging_1860/klagomål/A 57488-2025 FSC-klagomål.docx", "A 57488-2025")</f>
        <v/>
      </c>
      <c r="W8">
        <f>HYPERLINK("https://klasma.github.io/Logging_1860/klagomålsmail/A 57488-2025 FSC-klagomål mail.docx", "A 57488-2025")</f>
        <v/>
      </c>
      <c r="X8">
        <f>HYPERLINK("https://klasma.github.io/Logging_1860/tillsyn/A 57488-2025 tillsynsbegäran.docx", "A 57488-2025")</f>
        <v/>
      </c>
      <c r="Y8">
        <f>HYPERLINK("https://klasma.github.io/Logging_1860/tillsynsmail/A 57488-2025 tillsynsbegäran mail.docx", "A 57488-2025")</f>
        <v/>
      </c>
      <c r="Z8">
        <f>HYPERLINK("https://klasma.github.io/Logging_1860/fåglar/A 57488-2025 prioriterade fågelarter.docx", "A 57488-2025")</f>
        <v/>
      </c>
    </row>
    <row r="9" ht="15" customHeight="1">
      <c r="A9" t="inlineStr">
        <is>
          <t>A 60587-2025</t>
        </is>
      </c>
      <c r="B9" s="1" t="n">
        <v>45996</v>
      </c>
      <c r="C9" s="1" t="n">
        <v>46201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4.6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Dropptaggsvamp
Talltita
Tretåig hackspett
Mattlummer
Spillkråka
Tjäder</t>
        </is>
      </c>
      <c r="S9">
        <f>HYPERLINK("https://klasma.github.io/Logging_1860/artfynd/A 60587-2025 artfynd.xlsx", "A 60587-2025")</f>
        <v/>
      </c>
      <c r="T9">
        <f>HYPERLINK("https://klasma.github.io/Logging_1860/kartor/A 60587-2025 karta.png", "A 60587-2025")</f>
        <v/>
      </c>
      <c r="V9">
        <f>HYPERLINK("https://klasma.github.io/Logging_1860/klagomål/A 60587-2025 FSC-klagomål.docx", "A 60587-2025")</f>
        <v/>
      </c>
      <c r="W9">
        <f>HYPERLINK("https://klasma.github.io/Logging_1860/klagomålsmail/A 60587-2025 FSC-klagomål mail.docx", "A 60587-2025")</f>
        <v/>
      </c>
      <c r="X9">
        <f>HYPERLINK("https://klasma.github.io/Logging_1860/tillsyn/A 60587-2025 tillsynsbegäran.docx", "A 60587-2025")</f>
        <v/>
      </c>
      <c r="Y9">
        <f>HYPERLINK("https://klasma.github.io/Logging_1860/tillsynsmail/A 60587-2025 tillsynsbegäran mail.docx", "A 60587-2025")</f>
        <v/>
      </c>
      <c r="Z9">
        <f>HYPERLINK("https://klasma.github.io/Logging_1860/fåglar/A 60587-2025 prioriterade fågelarter.docx", "A 60587-2025")</f>
        <v/>
      </c>
    </row>
    <row r="10" ht="15" customHeight="1">
      <c r="A10" t="inlineStr">
        <is>
          <t>A 56010-2025</t>
        </is>
      </c>
      <c r="B10" s="1" t="n">
        <v>45973</v>
      </c>
      <c r="C10" s="1" t="n">
        <v>46201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1.5</v>
      </c>
      <c r="H10" t="n">
        <v>3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Tretåig hackspett
Thomsons trägnagare
Vedticka
Vågbandad barkbock
Spillkråka
Tjäder</t>
        </is>
      </c>
      <c r="S10">
        <f>HYPERLINK("https://klasma.github.io/Logging_1860/artfynd/A 56010-2025 artfynd.xlsx", "A 56010-2025")</f>
        <v/>
      </c>
      <c r="T10">
        <f>HYPERLINK("https://klasma.github.io/Logging_1860/kartor/A 56010-2025 karta.png", "A 56010-2025")</f>
        <v/>
      </c>
      <c r="V10">
        <f>HYPERLINK("https://klasma.github.io/Logging_1860/klagomål/A 56010-2025 FSC-klagomål.docx", "A 56010-2025")</f>
        <v/>
      </c>
      <c r="W10">
        <f>HYPERLINK("https://klasma.github.io/Logging_1860/klagomålsmail/A 56010-2025 FSC-klagomål mail.docx", "A 56010-2025")</f>
        <v/>
      </c>
      <c r="X10">
        <f>HYPERLINK("https://klasma.github.io/Logging_1860/tillsyn/A 56010-2025 tillsynsbegäran.docx", "A 56010-2025")</f>
        <v/>
      </c>
      <c r="Y10">
        <f>HYPERLINK("https://klasma.github.io/Logging_1860/tillsynsmail/A 56010-2025 tillsynsbegäran mail.docx", "A 56010-2025")</f>
        <v/>
      </c>
      <c r="Z10">
        <f>HYPERLINK("https://klasma.github.io/Logging_1860/fåglar/A 56010-2025 prioriterade fågelarter.docx", "A 56010-2025")</f>
        <v/>
      </c>
    </row>
    <row r="11" ht="15" customHeight="1">
      <c r="A11" t="inlineStr">
        <is>
          <t>A 34285-2024</t>
        </is>
      </c>
      <c r="B11" s="1" t="n">
        <v>45524</v>
      </c>
      <c r="C11" s="1" t="n">
        <v>46201</v>
      </c>
      <c r="D11" t="inlineStr">
        <is>
          <t>ÖREBRO LÄN</t>
        </is>
      </c>
      <c r="E11" t="inlineStr">
        <is>
          <t>LAXÅ</t>
        </is>
      </c>
      <c r="G11" t="n">
        <v>0.5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Talltita
Vedtrappmossa
Björksplintborre
Granbarkgnagare
Vågbandad barkbock</t>
        </is>
      </c>
      <c r="S11">
        <f>HYPERLINK("https://klasma.github.io/Logging_1860/artfynd/A 34285-2024 artfynd.xlsx", "A 34285-2024")</f>
        <v/>
      </c>
      <c r="T11">
        <f>HYPERLINK("https://klasma.github.io/Logging_1860/kartor/A 34285-2024 karta.png", "A 34285-2024")</f>
        <v/>
      </c>
      <c r="V11">
        <f>HYPERLINK("https://klasma.github.io/Logging_1860/klagomål/A 34285-2024 FSC-klagomål.docx", "A 34285-2024")</f>
        <v/>
      </c>
      <c r="W11">
        <f>HYPERLINK("https://klasma.github.io/Logging_1860/klagomålsmail/A 34285-2024 FSC-klagomål mail.docx", "A 34285-2024")</f>
        <v/>
      </c>
      <c r="X11">
        <f>HYPERLINK("https://klasma.github.io/Logging_1860/tillsyn/A 34285-2024 tillsynsbegäran.docx", "A 34285-2024")</f>
        <v/>
      </c>
      <c r="Y11">
        <f>HYPERLINK("https://klasma.github.io/Logging_1860/tillsynsmail/A 34285-2024 tillsynsbegäran mail.docx", "A 34285-2024")</f>
        <v/>
      </c>
      <c r="Z11">
        <f>HYPERLINK("https://klasma.github.io/Logging_1860/fåglar/A 34285-2024 prioriterade fågelarter.docx", "A 34285-2024")</f>
        <v/>
      </c>
    </row>
    <row r="12" ht="15" customHeight="1">
      <c r="A12" t="inlineStr">
        <is>
          <t>A 56017-2025</t>
        </is>
      </c>
      <c r="B12" s="1" t="n">
        <v>45973</v>
      </c>
      <c r="C12" s="1" t="n">
        <v>46201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0.9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Thomsons trägnagare
Vågbandad barkbock
Spillkråka
Tjäder</t>
        </is>
      </c>
      <c r="S12">
        <f>HYPERLINK("https://klasma.github.io/Logging_1860/artfynd/A 56017-2025 artfynd.xlsx", "A 56017-2025")</f>
        <v/>
      </c>
      <c r="T12">
        <f>HYPERLINK("https://klasma.github.io/Logging_1860/kartor/A 56017-2025 karta.png", "A 56017-2025")</f>
        <v/>
      </c>
      <c r="V12">
        <f>HYPERLINK("https://klasma.github.io/Logging_1860/klagomål/A 56017-2025 FSC-klagomål.docx", "A 56017-2025")</f>
        <v/>
      </c>
      <c r="W12">
        <f>HYPERLINK("https://klasma.github.io/Logging_1860/klagomålsmail/A 56017-2025 FSC-klagomål mail.docx", "A 56017-2025")</f>
        <v/>
      </c>
      <c r="X12">
        <f>HYPERLINK("https://klasma.github.io/Logging_1860/tillsyn/A 56017-2025 tillsynsbegäran.docx", "A 56017-2025")</f>
        <v/>
      </c>
      <c r="Y12">
        <f>HYPERLINK("https://klasma.github.io/Logging_1860/tillsynsmail/A 56017-2025 tillsynsbegäran mail.docx", "A 56017-2025")</f>
        <v/>
      </c>
      <c r="Z12">
        <f>HYPERLINK("https://klasma.github.io/Logging_1860/fåglar/A 56017-2025 prioriterade fågelarter.docx", "A 56017-2025")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46201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Dropptaggsvamp
Motaggsvamp
Tallticka
Blomkålssvamp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62805-2025</t>
        </is>
      </c>
      <c r="B14" s="1" t="n">
        <v>46008</v>
      </c>
      <c r="C14" s="1" t="n">
        <v>46201</v>
      </c>
      <c r="D14" t="inlineStr">
        <is>
          <t>ÖREBRO LÄN</t>
        </is>
      </c>
      <c r="E14" t="inlineStr">
        <is>
          <t>LAXÅ</t>
        </is>
      </c>
      <c r="F14" t="inlineStr">
        <is>
          <t>Allmännings- och besparingsskogar</t>
        </is>
      </c>
      <c r="G14" t="n">
        <v>15.5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Orre
Vanlig groda</t>
        </is>
      </c>
      <c r="S14">
        <f>HYPERLINK("https://klasma.github.io/Logging_1860/artfynd/A 62805-2025 artfynd.xlsx", "A 62805-2025")</f>
        <v/>
      </c>
      <c r="T14">
        <f>HYPERLINK("https://klasma.github.io/Logging_1860/kartor/A 62805-2025 karta.png", "A 62805-2025")</f>
        <v/>
      </c>
      <c r="V14">
        <f>HYPERLINK("https://klasma.github.io/Logging_1860/klagomål/A 62805-2025 FSC-klagomål.docx", "A 62805-2025")</f>
        <v/>
      </c>
      <c r="W14">
        <f>HYPERLINK("https://klasma.github.io/Logging_1860/klagomålsmail/A 62805-2025 FSC-klagomål mail.docx", "A 62805-2025")</f>
        <v/>
      </c>
      <c r="X14">
        <f>HYPERLINK("https://klasma.github.io/Logging_1860/tillsyn/A 62805-2025 tillsynsbegäran.docx", "A 62805-2025")</f>
        <v/>
      </c>
      <c r="Y14">
        <f>HYPERLINK("https://klasma.github.io/Logging_1860/tillsynsmail/A 62805-2025 tillsynsbegäran mail.docx", "A 62805-2025")</f>
        <v/>
      </c>
      <c r="Z14">
        <f>HYPERLINK("https://klasma.github.io/Logging_1860/fåglar/A 62805-2025 prioriterade fågelarter.docx", "A 62805-2025")</f>
        <v/>
      </c>
    </row>
    <row r="15" ht="15" customHeight="1">
      <c r="A15" t="inlineStr">
        <is>
          <t>A 60580-2025</t>
        </is>
      </c>
      <c r="B15" s="1" t="n">
        <v>45996</v>
      </c>
      <c r="C15" s="1" t="n">
        <v>46201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9.6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Talltita
Tretåig hackspett
Spillkråka
Tjäder</t>
        </is>
      </c>
      <c r="S15">
        <f>HYPERLINK("https://klasma.github.io/Logging_1860/artfynd/A 60580-2025 artfynd.xlsx", "A 60580-2025")</f>
        <v/>
      </c>
      <c r="T15">
        <f>HYPERLINK("https://klasma.github.io/Logging_1860/kartor/A 60580-2025 karta.png", "A 60580-2025")</f>
        <v/>
      </c>
      <c r="V15">
        <f>HYPERLINK("https://klasma.github.io/Logging_1860/klagomål/A 60580-2025 FSC-klagomål.docx", "A 60580-2025")</f>
        <v/>
      </c>
      <c r="W15">
        <f>HYPERLINK("https://klasma.github.io/Logging_1860/klagomålsmail/A 60580-2025 FSC-klagomål mail.docx", "A 60580-2025")</f>
        <v/>
      </c>
      <c r="X15">
        <f>HYPERLINK("https://klasma.github.io/Logging_1860/tillsyn/A 60580-2025 tillsynsbegäran.docx", "A 60580-2025")</f>
        <v/>
      </c>
      <c r="Y15">
        <f>HYPERLINK("https://klasma.github.io/Logging_1860/tillsynsmail/A 60580-2025 tillsynsbegäran mail.docx", "A 60580-2025")</f>
        <v/>
      </c>
      <c r="Z15">
        <f>HYPERLINK("https://klasma.github.io/Logging_1860/fåglar/A 60580-2025 prioriterade fågelarter.docx", "A 60580-2025")</f>
        <v/>
      </c>
    </row>
    <row r="16" ht="15" customHeight="1">
      <c r="A16" t="inlineStr">
        <is>
          <t>A 20941-2026</t>
        </is>
      </c>
      <c r="B16" s="1" t="n">
        <v>46142</v>
      </c>
      <c r="C16" s="1" t="n">
        <v>46201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9.199999999999999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Svart skogssnigel
Tjäder
Vanlig groda
Revlummer</t>
        </is>
      </c>
      <c r="S16">
        <f>HYPERLINK("https://klasma.github.io/Logging_1860/artfynd/A 20941-2026 artfynd.xlsx", "A 20941-2026")</f>
        <v/>
      </c>
      <c r="T16">
        <f>HYPERLINK("https://klasma.github.io/Logging_1860/kartor/A 20941-2026 karta.png", "A 20941-2026")</f>
        <v/>
      </c>
      <c r="V16">
        <f>HYPERLINK("https://klasma.github.io/Logging_1860/klagomål/A 20941-2026 FSC-klagomål.docx", "A 20941-2026")</f>
        <v/>
      </c>
      <c r="W16">
        <f>HYPERLINK("https://klasma.github.io/Logging_1860/klagomålsmail/A 20941-2026 FSC-klagomål mail.docx", "A 20941-2026")</f>
        <v/>
      </c>
      <c r="X16">
        <f>HYPERLINK("https://klasma.github.io/Logging_1860/tillsyn/A 20941-2026 tillsynsbegäran.docx", "A 20941-2026")</f>
        <v/>
      </c>
      <c r="Y16">
        <f>HYPERLINK("https://klasma.github.io/Logging_1860/tillsynsmail/A 20941-2026 tillsynsbegäran mail.docx", "A 20941-2026")</f>
        <v/>
      </c>
      <c r="Z16">
        <f>HYPERLINK("https://klasma.github.io/Logging_1860/fåglar/A 20941-2026 prioriterade fågelarter.docx", "A 20941-2026")</f>
        <v/>
      </c>
    </row>
    <row r="17" ht="15" customHeight="1">
      <c r="A17" t="inlineStr">
        <is>
          <t>A 34283-2024</t>
        </is>
      </c>
      <c r="B17" s="1" t="n">
        <v>45524</v>
      </c>
      <c r="C17" s="1" t="n">
        <v>46201</v>
      </c>
      <c r="D17" t="inlineStr">
        <is>
          <t>ÖREBRO LÄN</t>
        </is>
      </c>
      <c r="E17" t="inlineStr">
        <is>
          <t>LAXÅ</t>
        </is>
      </c>
      <c r="G17" t="n">
        <v>1.8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Järnsparv
Grönsiska
Kungsfågel</t>
        </is>
      </c>
      <c r="S17">
        <f>HYPERLINK("https://klasma.github.io/Logging_1860/artfynd/A 34283-2024 artfynd.xlsx", "A 34283-2024")</f>
        <v/>
      </c>
      <c r="T17">
        <f>HYPERLINK("https://klasma.github.io/Logging_1860/kartor/A 34283-2024 karta.png", "A 34283-2024")</f>
        <v/>
      </c>
      <c r="V17">
        <f>HYPERLINK("https://klasma.github.io/Logging_1860/klagomål/A 34283-2024 FSC-klagomål.docx", "A 34283-2024")</f>
        <v/>
      </c>
      <c r="W17">
        <f>HYPERLINK("https://klasma.github.io/Logging_1860/klagomålsmail/A 34283-2024 FSC-klagomål mail.docx", "A 34283-2024")</f>
        <v/>
      </c>
      <c r="X17">
        <f>HYPERLINK("https://klasma.github.io/Logging_1860/tillsyn/A 34283-2024 tillsynsbegäran.docx", "A 34283-2024")</f>
        <v/>
      </c>
      <c r="Y17">
        <f>HYPERLINK("https://klasma.github.io/Logging_1860/tillsynsmail/A 34283-2024 tillsynsbegäran mail.docx", "A 34283-2024")</f>
        <v/>
      </c>
      <c r="Z17">
        <f>HYPERLINK("https://klasma.github.io/Logging_1860/fåglar/A 34283-2024 prioriterade fågelarter.docx", "A 34283-2024")</f>
        <v/>
      </c>
    </row>
    <row r="18" ht="15" customHeight="1">
      <c r="A18" t="inlineStr">
        <is>
          <t>A 61096-2023</t>
        </is>
      </c>
      <c r="B18" s="1" t="n">
        <v>45261</v>
      </c>
      <c r="C18" s="1" t="n">
        <v>46201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4.5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Borsttåg
Entita
Björksplintborre</t>
        </is>
      </c>
      <c r="S18">
        <f>HYPERLINK("https://klasma.github.io/Logging_1860/artfynd/A 61096-2023 artfynd.xlsx", "A 61096-2023")</f>
        <v/>
      </c>
      <c r="T18">
        <f>HYPERLINK("https://klasma.github.io/Logging_1860/kartor/A 61096-2023 karta.png", "A 61096-2023")</f>
        <v/>
      </c>
      <c r="V18">
        <f>HYPERLINK("https://klasma.github.io/Logging_1860/klagomål/A 61096-2023 FSC-klagomål.docx", "A 61096-2023")</f>
        <v/>
      </c>
      <c r="W18">
        <f>HYPERLINK("https://klasma.github.io/Logging_1860/klagomålsmail/A 61096-2023 FSC-klagomål mail.docx", "A 61096-2023")</f>
        <v/>
      </c>
      <c r="X18">
        <f>HYPERLINK("https://klasma.github.io/Logging_1860/tillsyn/A 61096-2023 tillsynsbegäran.docx", "A 61096-2023")</f>
        <v/>
      </c>
      <c r="Y18">
        <f>HYPERLINK("https://klasma.github.io/Logging_1860/tillsynsmail/A 61096-2023 tillsynsbegäran mail.docx", "A 61096-2023")</f>
        <v/>
      </c>
      <c r="Z18">
        <f>HYPERLINK("https://klasma.github.io/Logging_1860/fåglar/A 61096-2023 prioriterade fågelarter.docx", "A 61096-2023")</f>
        <v/>
      </c>
    </row>
    <row r="19" ht="15" customHeight="1">
      <c r="A19" t="inlineStr">
        <is>
          <t>A 34279-2024</t>
        </is>
      </c>
      <c r="B19" s="1" t="n">
        <v>45524</v>
      </c>
      <c r="C19" s="1" t="n">
        <v>46201</v>
      </c>
      <c r="D19" t="inlineStr">
        <is>
          <t>ÖREBRO LÄN</t>
        </is>
      </c>
      <c r="E19" t="inlineStr">
        <is>
          <t>LAXÅ</t>
        </is>
      </c>
      <c r="G19" t="n">
        <v>0.9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Järnsparv
Grönsiska
Kråka</t>
        </is>
      </c>
      <c r="S19">
        <f>HYPERLINK("https://klasma.github.io/Logging_1860/artfynd/A 34279-2024 artfynd.xlsx", "A 34279-2024")</f>
        <v/>
      </c>
      <c r="T19">
        <f>HYPERLINK("https://klasma.github.io/Logging_1860/kartor/A 34279-2024 karta.png", "A 34279-2024")</f>
        <v/>
      </c>
      <c r="V19">
        <f>HYPERLINK("https://klasma.github.io/Logging_1860/klagomål/A 34279-2024 FSC-klagomål.docx", "A 34279-2024")</f>
        <v/>
      </c>
      <c r="W19">
        <f>HYPERLINK("https://klasma.github.io/Logging_1860/klagomålsmail/A 34279-2024 FSC-klagomål mail.docx", "A 34279-2024")</f>
        <v/>
      </c>
      <c r="X19">
        <f>HYPERLINK("https://klasma.github.io/Logging_1860/tillsyn/A 34279-2024 tillsynsbegäran.docx", "A 34279-2024")</f>
        <v/>
      </c>
      <c r="Y19">
        <f>HYPERLINK("https://klasma.github.io/Logging_1860/tillsynsmail/A 34279-2024 tillsynsbegäran mail.docx", "A 34279-2024")</f>
        <v/>
      </c>
      <c r="Z19">
        <f>HYPERLINK("https://klasma.github.io/Logging_1860/fåglar/A 34279-2024 prioriterade fågelarter.docx", "A 34279-2024")</f>
        <v/>
      </c>
    </row>
    <row r="20" ht="15" customHeight="1">
      <c r="A20" t="inlineStr">
        <is>
          <t>A 50772-2022</t>
        </is>
      </c>
      <c r="B20" s="1" t="n">
        <v>44867</v>
      </c>
      <c r="C20" s="1" t="n">
        <v>46201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Revlummer</t>
        </is>
      </c>
      <c r="S20">
        <f>HYPERLINK("https://klasma.github.io/Logging_1860/artfynd/A 50772-2022 artfynd.xlsx", "A 50772-2022")</f>
        <v/>
      </c>
      <c r="T20">
        <f>HYPERLINK("https://klasma.github.io/Logging_1860/kartor/A 50772-2022 karta.png", "A 50772-2022")</f>
        <v/>
      </c>
      <c r="V20">
        <f>HYPERLINK("https://klasma.github.io/Logging_1860/klagomål/A 50772-2022 FSC-klagomål.docx", "A 50772-2022")</f>
        <v/>
      </c>
      <c r="W20">
        <f>HYPERLINK("https://klasma.github.io/Logging_1860/klagomålsmail/A 50772-2022 FSC-klagomål mail.docx", "A 50772-2022")</f>
        <v/>
      </c>
      <c r="X20">
        <f>HYPERLINK("https://klasma.github.io/Logging_1860/tillsyn/A 50772-2022 tillsynsbegäran.docx", "A 50772-2022")</f>
        <v/>
      </c>
      <c r="Y20">
        <f>HYPERLINK("https://klasma.github.io/Logging_1860/tillsynsmail/A 50772-2022 tillsynsbegäran mail.docx", "A 50772-2022")</f>
        <v/>
      </c>
    </row>
    <row r="21" ht="15" customHeight="1">
      <c r="A21" t="inlineStr">
        <is>
          <t>A 36350-2022</t>
        </is>
      </c>
      <c r="B21" s="1" t="n">
        <v>44803</v>
      </c>
      <c r="C21" s="1" t="n">
        <v>46201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Fläcknycklar</t>
        </is>
      </c>
      <c r="S21">
        <f>HYPERLINK("https://klasma.github.io/Logging_1860/artfynd/A 36350-2022 artfynd.xlsx", "A 36350-2022")</f>
        <v/>
      </c>
      <c r="T21">
        <f>HYPERLINK("https://klasma.github.io/Logging_1860/kartor/A 36350-2022 karta.png", "A 36350-2022")</f>
        <v/>
      </c>
      <c r="V21">
        <f>HYPERLINK("https://klasma.github.io/Logging_1860/klagomål/A 36350-2022 FSC-klagomål.docx", "A 36350-2022")</f>
        <v/>
      </c>
      <c r="W21">
        <f>HYPERLINK("https://klasma.github.io/Logging_1860/klagomålsmail/A 36350-2022 FSC-klagomål mail.docx", "A 36350-2022")</f>
        <v/>
      </c>
      <c r="X21">
        <f>HYPERLINK("https://klasma.github.io/Logging_1860/tillsyn/A 36350-2022 tillsynsbegäran.docx", "A 36350-2022")</f>
        <v/>
      </c>
      <c r="Y21">
        <f>HYPERLINK("https://klasma.github.io/Logging_1860/tillsynsmail/A 36350-2022 tillsynsbegäran mail.docx", "A 36350-2022")</f>
        <v/>
      </c>
    </row>
    <row r="22" ht="15" customHeight="1">
      <c r="A22" t="inlineStr">
        <is>
          <t>A 34161-2021</t>
        </is>
      </c>
      <c r="B22" s="1" t="n">
        <v>44379</v>
      </c>
      <c r="C22" s="1" t="n">
        <v>46201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Mindre märgborre
Fläcknycklar</t>
        </is>
      </c>
      <c r="S22">
        <f>HYPERLINK("https://klasma.github.io/Logging_1860/artfynd/A 34161-2021 artfynd.xlsx", "A 34161-2021")</f>
        <v/>
      </c>
      <c r="T22">
        <f>HYPERLINK("https://klasma.github.io/Logging_1860/kartor/A 34161-2021 karta.png", "A 34161-2021")</f>
        <v/>
      </c>
      <c r="V22">
        <f>HYPERLINK("https://klasma.github.io/Logging_1860/klagomål/A 34161-2021 FSC-klagomål.docx", "A 34161-2021")</f>
        <v/>
      </c>
      <c r="W22">
        <f>HYPERLINK("https://klasma.github.io/Logging_1860/klagomålsmail/A 34161-2021 FSC-klagomål mail.docx", "A 34161-2021")</f>
        <v/>
      </c>
      <c r="X22">
        <f>HYPERLINK("https://klasma.github.io/Logging_1860/tillsyn/A 34161-2021 tillsynsbegäran.docx", "A 34161-2021")</f>
        <v/>
      </c>
      <c r="Y22">
        <f>HYPERLINK("https://klasma.github.io/Logging_1860/tillsynsmail/A 34161-2021 tillsynsbegäran mail.docx", "A 34161-2021")</f>
        <v/>
      </c>
    </row>
    <row r="23" ht="15" customHeight="1">
      <c r="A23" t="inlineStr">
        <is>
          <t>A 38633-2023</t>
        </is>
      </c>
      <c r="B23" s="1" t="n">
        <v>45160</v>
      </c>
      <c r="C23" s="1" t="n">
        <v>46201</v>
      </c>
      <c r="D23" t="inlineStr">
        <is>
          <t>ÖREBRO LÄN</t>
        </is>
      </c>
      <c r="E23" t="inlineStr">
        <is>
          <t>LAXÅ</t>
        </is>
      </c>
      <c r="G23" t="n">
        <v>1.7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Fläcknycklar</t>
        </is>
      </c>
      <c r="S23">
        <f>HYPERLINK("https://klasma.github.io/Logging_1860/artfynd/A 38633-2023 artfynd.xlsx", "A 38633-2023")</f>
        <v/>
      </c>
      <c r="T23">
        <f>HYPERLINK("https://klasma.github.io/Logging_1860/kartor/A 38633-2023 karta.png", "A 38633-2023")</f>
        <v/>
      </c>
      <c r="V23">
        <f>HYPERLINK("https://klasma.github.io/Logging_1860/klagomål/A 38633-2023 FSC-klagomål.docx", "A 38633-2023")</f>
        <v/>
      </c>
      <c r="W23">
        <f>HYPERLINK("https://klasma.github.io/Logging_1860/klagomålsmail/A 38633-2023 FSC-klagomål mail.docx", "A 38633-2023")</f>
        <v/>
      </c>
      <c r="X23">
        <f>HYPERLINK("https://klasma.github.io/Logging_1860/tillsyn/A 38633-2023 tillsynsbegäran.docx", "A 38633-2023")</f>
        <v/>
      </c>
      <c r="Y23">
        <f>HYPERLINK("https://klasma.github.io/Logging_1860/tillsynsmail/A 38633-2023 tillsynsbegäran mail.docx", "A 38633-2023")</f>
        <v/>
      </c>
    </row>
    <row r="24" ht="15" customHeight="1">
      <c r="A24" t="inlineStr">
        <is>
          <t>A 11018-2022</t>
        </is>
      </c>
      <c r="B24" s="1" t="n">
        <v>44628</v>
      </c>
      <c r="C24" s="1" t="n">
        <v>46201</v>
      </c>
      <c r="D24" t="inlineStr">
        <is>
          <t>ÖREBRO LÄN</t>
        </is>
      </c>
      <c r="E24" t="inlineStr">
        <is>
          <t>LAXÅ</t>
        </is>
      </c>
      <c r="G24" t="n">
        <v>9.300000000000001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Spillkråka</t>
        </is>
      </c>
      <c r="S24">
        <f>HYPERLINK("https://klasma.github.io/Logging_1860/artfynd/A 11018-2022 artfynd.xlsx", "A 11018-2022")</f>
        <v/>
      </c>
      <c r="T24">
        <f>HYPERLINK("https://klasma.github.io/Logging_1860/kartor/A 11018-2022 karta.png", "A 11018-2022")</f>
        <v/>
      </c>
      <c r="V24">
        <f>HYPERLINK("https://klasma.github.io/Logging_1860/klagomål/A 11018-2022 FSC-klagomål.docx", "A 11018-2022")</f>
        <v/>
      </c>
      <c r="W24">
        <f>HYPERLINK("https://klasma.github.io/Logging_1860/klagomålsmail/A 11018-2022 FSC-klagomål mail.docx", "A 11018-2022")</f>
        <v/>
      </c>
      <c r="X24">
        <f>HYPERLINK("https://klasma.github.io/Logging_1860/tillsyn/A 11018-2022 tillsynsbegäran.docx", "A 11018-2022")</f>
        <v/>
      </c>
      <c r="Y24">
        <f>HYPERLINK("https://klasma.github.io/Logging_1860/tillsynsmail/A 11018-2022 tillsynsbegäran mail.docx", "A 11018-2022")</f>
        <v/>
      </c>
      <c r="Z24">
        <f>HYPERLINK("https://klasma.github.io/Logging_1860/fåglar/A 11018-2022 prioriterade fågelarter.docx", "A 11018-2022")</f>
        <v/>
      </c>
    </row>
    <row r="25" ht="15" customHeight="1">
      <c r="A25" t="inlineStr">
        <is>
          <t>A 25397-2024</t>
        </is>
      </c>
      <c r="B25" s="1" t="n">
        <v>45463</v>
      </c>
      <c r="C25" s="1" t="n">
        <v>46201</v>
      </c>
      <c r="D25" t="inlineStr">
        <is>
          <t>ÖREBRO LÄN</t>
        </is>
      </c>
      <c r="E25" t="inlineStr">
        <is>
          <t>LAXÅ</t>
        </is>
      </c>
      <c r="F25" t="inlineStr">
        <is>
          <t>Övriga statliga verk och myndigheter</t>
        </is>
      </c>
      <c r="G25" t="n">
        <v>1.1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Tretåig hackspett
Spillkråka</t>
        </is>
      </c>
      <c r="S25">
        <f>HYPERLINK("https://klasma.github.io/Logging_1860/artfynd/A 25397-2024 artfynd.xlsx", "A 25397-2024")</f>
        <v/>
      </c>
      <c r="T25">
        <f>HYPERLINK("https://klasma.github.io/Logging_1860/kartor/A 25397-2024 karta.png", "A 25397-2024")</f>
        <v/>
      </c>
      <c r="V25">
        <f>HYPERLINK("https://klasma.github.io/Logging_1860/klagomål/A 25397-2024 FSC-klagomål.docx", "A 25397-2024")</f>
        <v/>
      </c>
      <c r="W25">
        <f>HYPERLINK("https://klasma.github.io/Logging_1860/klagomålsmail/A 25397-2024 FSC-klagomål mail.docx", "A 25397-2024")</f>
        <v/>
      </c>
      <c r="X25">
        <f>HYPERLINK("https://klasma.github.io/Logging_1860/tillsyn/A 25397-2024 tillsynsbegäran.docx", "A 25397-2024")</f>
        <v/>
      </c>
      <c r="Y25">
        <f>HYPERLINK("https://klasma.github.io/Logging_1860/tillsynsmail/A 25397-2024 tillsynsbegäran mail.docx", "A 25397-2024")</f>
        <v/>
      </c>
      <c r="Z25">
        <f>HYPERLINK("https://klasma.github.io/Logging_1860/fåglar/A 25397-2024 prioriterade fågelarter.docx", "A 25397-2024")</f>
        <v/>
      </c>
    </row>
    <row r="26" ht="15" customHeight="1">
      <c r="A26" t="inlineStr">
        <is>
          <t>A 60686-2025</t>
        </is>
      </c>
      <c r="B26" s="1" t="n">
        <v>45996</v>
      </c>
      <c r="C26" s="1" t="n">
        <v>46201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Fläcknycklar</t>
        </is>
      </c>
      <c r="S26">
        <f>HYPERLINK("https://klasma.github.io/Logging_1860/artfynd/A 60686-2025 artfynd.xlsx", "A 60686-2025")</f>
        <v/>
      </c>
      <c r="T26">
        <f>HYPERLINK("https://klasma.github.io/Logging_1860/kartor/A 60686-2025 karta.png", "A 60686-2025")</f>
        <v/>
      </c>
      <c r="V26">
        <f>HYPERLINK("https://klasma.github.io/Logging_1860/klagomål/A 60686-2025 FSC-klagomål.docx", "A 60686-2025")</f>
        <v/>
      </c>
      <c r="W26">
        <f>HYPERLINK("https://klasma.github.io/Logging_1860/klagomålsmail/A 60686-2025 FSC-klagomål mail.docx", "A 60686-2025")</f>
        <v/>
      </c>
      <c r="X26">
        <f>HYPERLINK("https://klasma.github.io/Logging_1860/tillsyn/A 60686-2025 tillsynsbegäran.docx", "A 60686-2025")</f>
        <v/>
      </c>
      <c r="Y26">
        <f>HYPERLINK("https://klasma.github.io/Logging_1860/tillsynsmail/A 60686-2025 tillsynsbegäran mail.docx", "A 60686-2025")</f>
        <v/>
      </c>
    </row>
    <row r="27" ht="15" customHeight="1">
      <c r="A27" t="inlineStr">
        <is>
          <t>A 60869-2025</t>
        </is>
      </c>
      <c r="B27" s="1" t="n">
        <v>45999</v>
      </c>
      <c r="C27" s="1" t="n">
        <v>46201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Garnlav
Motaggsvamp</t>
        </is>
      </c>
      <c r="S27">
        <f>HYPERLINK("https://klasma.github.io/Logging_1860/artfynd/A 60869-2025 artfynd.xlsx", "A 60869-2025")</f>
        <v/>
      </c>
      <c r="T27">
        <f>HYPERLINK("https://klasma.github.io/Logging_1860/kartor/A 60869-2025 karta.png", "A 60869-2025")</f>
        <v/>
      </c>
      <c r="V27">
        <f>HYPERLINK("https://klasma.github.io/Logging_1860/klagomål/A 60869-2025 FSC-klagomål.docx", "A 60869-2025")</f>
        <v/>
      </c>
      <c r="W27">
        <f>HYPERLINK("https://klasma.github.io/Logging_1860/klagomålsmail/A 60869-2025 FSC-klagomål mail.docx", "A 60869-2025")</f>
        <v/>
      </c>
      <c r="X27">
        <f>HYPERLINK("https://klasma.github.io/Logging_1860/tillsyn/A 60869-2025 tillsynsbegäran.docx", "A 60869-2025")</f>
        <v/>
      </c>
      <c r="Y27">
        <f>HYPERLINK("https://klasma.github.io/Logging_1860/tillsynsmail/A 60869-2025 tillsynsbegäran mail.docx", "A 60869-2025")</f>
        <v/>
      </c>
    </row>
    <row r="28" ht="15" customHeight="1">
      <c r="A28" t="inlineStr">
        <is>
          <t>A 61528-2025</t>
        </is>
      </c>
      <c r="B28" s="1" t="n">
        <v>46001</v>
      </c>
      <c r="C28" s="1" t="n">
        <v>46201</v>
      </c>
      <c r="D28" t="inlineStr">
        <is>
          <t>ÖREBRO LÄN</t>
        </is>
      </c>
      <c r="E28" t="inlineStr">
        <is>
          <t>LAXÅ</t>
        </is>
      </c>
      <c r="F28" t="inlineStr">
        <is>
          <t>Allmännings- och besparingsskogar</t>
        </is>
      </c>
      <c r="G28" t="n">
        <v>3.9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Spillkråka</t>
        </is>
      </c>
      <c r="S28">
        <f>HYPERLINK("https://klasma.github.io/Logging_1860/artfynd/A 61528-2025 artfynd.xlsx", "A 61528-2025")</f>
        <v/>
      </c>
      <c r="T28">
        <f>HYPERLINK("https://klasma.github.io/Logging_1860/kartor/A 61528-2025 karta.png", "A 61528-2025")</f>
        <v/>
      </c>
      <c r="V28">
        <f>HYPERLINK("https://klasma.github.io/Logging_1860/klagomål/A 61528-2025 FSC-klagomål.docx", "A 61528-2025")</f>
        <v/>
      </c>
      <c r="W28">
        <f>HYPERLINK("https://klasma.github.io/Logging_1860/klagomålsmail/A 61528-2025 FSC-klagomål mail.docx", "A 61528-2025")</f>
        <v/>
      </c>
      <c r="X28">
        <f>HYPERLINK("https://klasma.github.io/Logging_1860/tillsyn/A 61528-2025 tillsynsbegäran.docx", "A 61528-2025")</f>
        <v/>
      </c>
      <c r="Y28">
        <f>HYPERLINK("https://klasma.github.io/Logging_1860/tillsynsmail/A 61528-2025 tillsynsbegäran mail.docx", "A 61528-2025")</f>
        <v/>
      </c>
      <c r="Z28">
        <f>HYPERLINK("https://klasma.github.io/Logging_1860/fåglar/A 61528-2025 prioriterade fågelarter.docx", "A 61528-2025")</f>
        <v/>
      </c>
    </row>
    <row r="29" ht="15" customHeight="1">
      <c r="A29" t="inlineStr">
        <is>
          <t>A 54715-2023</t>
        </is>
      </c>
      <c r="B29" s="1" t="n">
        <v>45236</v>
      </c>
      <c r="C29" s="1" t="n">
        <v>46201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Tretåig hackspett
Tjäder</t>
        </is>
      </c>
      <c r="S29">
        <f>HYPERLINK("https://klasma.github.io/Logging_1860/artfynd/A 54715-2023 artfynd.xlsx", "A 54715-2023")</f>
        <v/>
      </c>
      <c r="T29">
        <f>HYPERLINK("https://klasma.github.io/Logging_1860/kartor/A 54715-2023 karta.png", "A 54715-2023")</f>
        <v/>
      </c>
      <c r="V29">
        <f>HYPERLINK("https://klasma.github.io/Logging_1860/klagomål/A 54715-2023 FSC-klagomål.docx", "A 54715-2023")</f>
        <v/>
      </c>
      <c r="W29">
        <f>HYPERLINK("https://klasma.github.io/Logging_1860/klagomålsmail/A 54715-2023 FSC-klagomål mail.docx", "A 54715-2023")</f>
        <v/>
      </c>
      <c r="X29">
        <f>HYPERLINK("https://klasma.github.io/Logging_1860/tillsyn/A 54715-2023 tillsynsbegäran.docx", "A 54715-2023")</f>
        <v/>
      </c>
      <c r="Y29">
        <f>HYPERLINK("https://klasma.github.io/Logging_1860/tillsynsmail/A 54715-2023 tillsynsbegäran mail.docx", "A 54715-2023")</f>
        <v/>
      </c>
      <c r="Z29">
        <f>HYPERLINK("https://klasma.github.io/Logging_1860/fåglar/A 54715-2023 prioriterade fågelarter.docx", "A 54715-2023")</f>
        <v/>
      </c>
    </row>
    <row r="30" ht="15" customHeight="1">
      <c r="A30" t="inlineStr">
        <is>
          <t>A 50770-2022</t>
        </is>
      </c>
      <c r="B30" s="1" t="n">
        <v>44867</v>
      </c>
      <c r="C30" s="1" t="n">
        <v>46201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Tretåig hackspett
Spillkråka</t>
        </is>
      </c>
      <c r="S30">
        <f>HYPERLINK("https://klasma.github.io/Logging_1860/artfynd/A 50770-2022 artfynd.xlsx", "A 50770-2022")</f>
        <v/>
      </c>
      <c r="T30">
        <f>HYPERLINK("https://klasma.github.io/Logging_1860/kartor/A 50770-2022 karta.png", "A 50770-2022")</f>
        <v/>
      </c>
      <c r="V30">
        <f>HYPERLINK("https://klasma.github.io/Logging_1860/klagomål/A 50770-2022 FSC-klagomål.docx", "A 50770-2022")</f>
        <v/>
      </c>
      <c r="W30">
        <f>HYPERLINK("https://klasma.github.io/Logging_1860/klagomålsmail/A 50770-2022 FSC-klagomål mail.docx", "A 50770-2022")</f>
        <v/>
      </c>
      <c r="X30">
        <f>HYPERLINK("https://klasma.github.io/Logging_1860/tillsyn/A 50770-2022 tillsynsbegäran.docx", "A 50770-2022")</f>
        <v/>
      </c>
      <c r="Y30">
        <f>HYPERLINK("https://klasma.github.io/Logging_1860/tillsynsmail/A 50770-2022 tillsynsbegäran mail.docx", "A 50770-2022")</f>
        <v/>
      </c>
      <c r="Z30">
        <f>HYPERLINK("https://klasma.github.io/Logging_1860/fåglar/A 50770-2022 prioriterade fågelarter.docx", "A 50770-2022")</f>
        <v/>
      </c>
    </row>
    <row r="31" ht="15" customHeight="1">
      <c r="A31" t="inlineStr">
        <is>
          <t>A 50754-2022</t>
        </is>
      </c>
      <c r="B31" s="1" t="n">
        <v>44867</v>
      </c>
      <c r="C31" s="1" t="n">
        <v>46201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Tjäder</t>
        </is>
      </c>
      <c r="S31">
        <f>HYPERLINK("https://klasma.github.io/Logging_1860/artfynd/A 50754-2022 artfynd.xlsx", "A 50754-2022")</f>
        <v/>
      </c>
      <c r="T31">
        <f>HYPERLINK("https://klasma.github.io/Logging_1860/kartor/A 50754-2022 karta.png", "A 50754-2022")</f>
        <v/>
      </c>
      <c r="V31">
        <f>HYPERLINK("https://klasma.github.io/Logging_1860/klagomål/A 50754-2022 FSC-klagomål.docx", "A 50754-2022")</f>
        <v/>
      </c>
      <c r="W31">
        <f>HYPERLINK("https://klasma.github.io/Logging_1860/klagomålsmail/A 50754-2022 FSC-klagomål mail.docx", "A 50754-2022")</f>
        <v/>
      </c>
      <c r="X31">
        <f>HYPERLINK("https://klasma.github.io/Logging_1860/tillsyn/A 50754-2022 tillsynsbegäran.docx", "A 50754-2022")</f>
        <v/>
      </c>
      <c r="Y31">
        <f>HYPERLINK("https://klasma.github.io/Logging_1860/tillsynsmail/A 50754-2022 tillsynsbegäran mail.docx", "A 50754-2022")</f>
        <v/>
      </c>
      <c r="Z31">
        <f>HYPERLINK("https://klasma.github.io/Logging_1860/fåglar/A 50754-2022 prioriterade fågelarter.docx", "A 50754-2022")</f>
        <v/>
      </c>
    </row>
    <row r="32" ht="15" customHeight="1">
      <c r="A32" t="inlineStr">
        <is>
          <t>A 56004-2025</t>
        </is>
      </c>
      <c r="B32" s="1" t="n">
        <v>45973</v>
      </c>
      <c r="C32" s="1" t="n">
        <v>46201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HYPERLINK("https://klasma.github.io/Logging_1860/artfynd/A 56004-2025 artfynd.xlsx", "A 56004-2025")</f>
        <v/>
      </c>
      <c r="T32">
        <f>HYPERLINK("https://klasma.github.io/Logging_1860/kartor/A 56004-2025 karta.png", "A 56004-2025")</f>
        <v/>
      </c>
      <c r="V32">
        <f>HYPERLINK("https://klasma.github.io/Logging_1860/klagomål/A 56004-2025 FSC-klagomål.docx", "A 56004-2025")</f>
        <v/>
      </c>
      <c r="W32">
        <f>HYPERLINK("https://klasma.github.io/Logging_1860/klagomålsmail/A 56004-2025 FSC-klagomål mail.docx", "A 56004-2025")</f>
        <v/>
      </c>
      <c r="X32">
        <f>HYPERLINK("https://klasma.github.io/Logging_1860/tillsyn/A 56004-2025 tillsynsbegäran.docx", "A 56004-2025")</f>
        <v/>
      </c>
      <c r="Y32">
        <f>HYPERLINK("https://klasma.github.io/Logging_1860/tillsynsmail/A 56004-2025 tillsynsbegäran mail.docx", "A 56004-2025")</f>
        <v/>
      </c>
      <c r="Z32">
        <f>HYPERLINK("https://klasma.github.io/Logging_1860/fåglar/A 56004-2025 prioriterade fågelarter.docx", "A 56004-2025")</f>
        <v/>
      </c>
    </row>
    <row r="33" ht="15" customHeight="1">
      <c r="A33" t="inlineStr">
        <is>
          <t>A 43742-2022</t>
        </is>
      </c>
      <c r="B33" s="1" t="n">
        <v>44837</v>
      </c>
      <c r="C33" s="1" t="n">
        <v>46201</v>
      </c>
      <c r="D33" t="inlineStr">
        <is>
          <t>ÖREBRO LÄN</t>
        </is>
      </c>
      <c r="E33" t="inlineStr">
        <is>
          <t>LAXÅ</t>
        </is>
      </c>
      <c r="G33" t="n">
        <v>16.8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Violettkantad guldvinge</t>
        </is>
      </c>
      <c r="S33">
        <f>HYPERLINK("https://klasma.github.io/Logging_1860/artfynd/A 43742-2022 artfynd.xlsx", "A 43742-2022")</f>
        <v/>
      </c>
      <c r="T33">
        <f>HYPERLINK("https://klasma.github.io/Logging_1860/kartor/A 43742-2022 karta.png", "A 43742-2022")</f>
        <v/>
      </c>
      <c r="V33">
        <f>HYPERLINK("https://klasma.github.io/Logging_1860/klagomål/A 43742-2022 FSC-klagomål.docx", "A 43742-2022")</f>
        <v/>
      </c>
      <c r="W33">
        <f>HYPERLINK("https://klasma.github.io/Logging_1860/klagomålsmail/A 43742-2022 FSC-klagomål mail.docx", "A 43742-2022")</f>
        <v/>
      </c>
      <c r="X33">
        <f>HYPERLINK("https://klasma.github.io/Logging_1860/tillsyn/A 43742-2022 tillsynsbegäran.docx", "A 43742-2022")</f>
        <v/>
      </c>
      <c r="Y33">
        <f>HYPERLINK("https://klasma.github.io/Logging_1860/tillsynsmail/A 43742-2022 tillsynsbegäran mail.docx", "A 43742-2022")</f>
        <v/>
      </c>
    </row>
    <row r="34" ht="15" customHeight="1">
      <c r="A34" t="inlineStr">
        <is>
          <t>A 33862-2021</t>
        </is>
      </c>
      <c r="B34" s="1" t="n">
        <v>44378</v>
      </c>
      <c r="C34" s="1" t="n">
        <v>46201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HYPERLINK("https://klasma.github.io/Logging_1860/artfynd/A 33862-2021 artfynd.xlsx", "A 33862-2021")</f>
        <v/>
      </c>
      <c r="T34">
        <f>HYPERLINK("https://klasma.github.io/Logging_1860/kartor/A 33862-2021 karta.png", "A 33862-2021")</f>
        <v/>
      </c>
      <c r="V34">
        <f>HYPERLINK("https://klasma.github.io/Logging_1860/klagomål/A 33862-2021 FSC-klagomål.docx", "A 33862-2021")</f>
        <v/>
      </c>
      <c r="W34">
        <f>HYPERLINK("https://klasma.github.io/Logging_1860/klagomålsmail/A 33862-2021 FSC-klagomål mail.docx", "A 33862-2021")</f>
        <v/>
      </c>
      <c r="X34">
        <f>HYPERLINK("https://klasma.github.io/Logging_1860/tillsyn/A 33862-2021 tillsynsbegäran.docx", "A 33862-2021")</f>
        <v/>
      </c>
      <c r="Y34">
        <f>HYPERLINK("https://klasma.github.io/Logging_1860/tillsynsmail/A 33862-2021 tillsynsbegäran mail.docx", "A 33862-2021")</f>
        <v/>
      </c>
    </row>
    <row r="35" ht="15" customHeight="1">
      <c r="A35" t="inlineStr">
        <is>
          <t>A 18837-2025</t>
        </is>
      </c>
      <c r="B35" s="1" t="n">
        <v>45764</v>
      </c>
      <c r="C35" s="1" t="n">
        <v>46201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HYPERLINK("https://klasma.github.io/Logging_1860/artfynd/A 18837-2025 artfynd.xlsx", "A 18837-2025")</f>
        <v/>
      </c>
      <c r="T35">
        <f>HYPERLINK("https://klasma.github.io/Logging_1860/kartor/A 18837-2025 karta.png", "A 18837-2025")</f>
        <v/>
      </c>
      <c r="V35">
        <f>HYPERLINK("https://klasma.github.io/Logging_1860/klagomål/A 18837-2025 FSC-klagomål.docx", "A 18837-2025")</f>
        <v/>
      </c>
      <c r="W35">
        <f>HYPERLINK("https://klasma.github.io/Logging_1860/klagomålsmail/A 18837-2025 FSC-klagomål mail.docx", "A 18837-2025")</f>
        <v/>
      </c>
      <c r="X35">
        <f>HYPERLINK("https://klasma.github.io/Logging_1860/tillsyn/A 18837-2025 tillsynsbegäran.docx", "A 18837-2025")</f>
        <v/>
      </c>
      <c r="Y35">
        <f>HYPERLINK("https://klasma.github.io/Logging_1860/tillsynsmail/A 18837-2025 tillsynsbegäran mail.docx", "A 18837-2025")</f>
        <v/>
      </c>
    </row>
    <row r="36" ht="15" customHeight="1">
      <c r="A36" t="inlineStr">
        <is>
          <t>A 43675-2024</t>
        </is>
      </c>
      <c r="B36" s="1" t="n">
        <v>45569</v>
      </c>
      <c r="C36" s="1" t="n">
        <v>46201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HYPERLINK("https://klasma.github.io/Logging_1860/artfynd/A 43675-2024 artfynd.xlsx", "A 43675-2024")</f>
        <v/>
      </c>
      <c r="T36">
        <f>HYPERLINK("https://klasma.github.io/Logging_1860/kartor/A 43675-2024 karta.png", "A 43675-2024")</f>
        <v/>
      </c>
      <c r="V36">
        <f>HYPERLINK("https://klasma.github.io/Logging_1860/klagomål/A 43675-2024 FSC-klagomål.docx", "A 43675-2024")</f>
        <v/>
      </c>
      <c r="W36">
        <f>HYPERLINK("https://klasma.github.io/Logging_1860/klagomålsmail/A 43675-2024 FSC-klagomål mail.docx", "A 43675-2024")</f>
        <v/>
      </c>
      <c r="X36">
        <f>HYPERLINK("https://klasma.github.io/Logging_1860/tillsyn/A 43675-2024 tillsynsbegäran.docx", "A 43675-2024")</f>
        <v/>
      </c>
      <c r="Y36">
        <f>HYPERLINK("https://klasma.github.io/Logging_1860/tillsynsmail/A 43675-2024 tillsynsbegäran mail.docx", "A 43675-2024")</f>
        <v/>
      </c>
      <c r="Z36">
        <f>HYPERLINK("https://klasma.github.io/Logging_1860/fåglar/A 43675-2024 prioriterade fågelarter.docx", "A 43675-2024")</f>
        <v/>
      </c>
    </row>
    <row r="37" ht="15" customHeight="1">
      <c r="A37" t="inlineStr">
        <is>
          <t>A 42326-2023</t>
        </is>
      </c>
      <c r="B37" s="1" t="n">
        <v>45180</v>
      </c>
      <c r="C37" s="1" t="n">
        <v>46201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HYPERLINK("https://klasma.github.io/Logging_1860/artfynd/A 42326-2023 artfynd.xlsx", "A 42326-2023")</f>
        <v/>
      </c>
      <c r="T37">
        <f>HYPERLINK("https://klasma.github.io/Logging_1860/kartor/A 42326-2023 karta.png", "A 42326-2023")</f>
        <v/>
      </c>
      <c r="V37">
        <f>HYPERLINK("https://klasma.github.io/Logging_1860/klagomål/A 42326-2023 FSC-klagomål.docx", "A 42326-2023")</f>
        <v/>
      </c>
      <c r="W37">
        <f>HYPERLINK("https://klasma.github.io/Logging_1860/klagomålsmail/A 42326-2023 FSC-klagomål mail.docx", "A 42326-2023")</f>
        <v/>
      </c>
      <c r="X37">
        <f>HYPERLINK("https://klasma.github.io/Logging_1860/tillsyn/A 42326-2023 tillsynsbegäran.docx", "A 42326-2023")</f>
        <v/>
      </c>
      <c r="Y37">
        <f>HYPERLINK("https://klasma.github.io/Logging_1860/tillsynsmail/A 42326-2023 tillsynsbegäran mail.docx", "A 42326-2023")</f>
        <v/>
      </c>
    </row>
    <row r="38" ht="15" customHeight="1">
      <c r="A38" t="inlineStr">
        <is>
          <t>A 59657-2022</t>
        </is>
      </c>
      <c r="B38" s="1" t="n">
        <v>44908</v>
      </c>
      <c r="C38" s="1" t="n">
        <v>46201</v>
      </c>
      <c r="D38" t="inlineStr">
        <is>
          <t>ÖREBRO LÄN</t>
        </is>
      </c>
      <c r="E38" t="inlineStr">
        <is>
          <t>LAXÅ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HYPERLINK("https://klasma.github.io/Logging_1860/artfynd/A 59657-2022 artfynd.xlsx", "A 59657-2022")</f>
        <v/>
      </c>
      <c r="T38">
        <f>HYPERLINK("https://klasma.github.io/Logging_1860/kartor/A 59657-2022 karta.png", "A 59657-2022")</f>
        <v/>
      </c>
      <c r="V38">
        <f>HYPERLINK("https://klasma.github.io/Logging_1860/klagomål/A 59657-2022 FSC-klagomål.docx", "A 59657-2022")</f>
        <v/>
      </c>
      <c r="W38">
        <f>HYPERLINK("https://klasma.github.io/Logging_1860/klagomålsmail/A 59657-2022 FSC-klagomål mail.docx", "A 59657-2022")</f>
        <v/>
      </c>
      <c r="X38">
        <f>HYPERLINK("https://klasma.github.io/Logging_1860/tillsyn/A 59657-2022 tillsynsbegäran.docx", "A 59657-2022")</f>
        <v/>
      </c>
      <c r="Y38">
        <f>HYPERLINK("https://klasma.github.io/Logging_1860/tillsynsmail/A 59657-2022 tillsynsbegäran mail.docx", "A 59657-2022")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46201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10622-2023</t>
        </is>
      </c>
      <c r="B40" s="1" t="n">
        <v>44988</v>
      </c>
      <c r="C40" s="1" t="n">
        <v>46201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HYPERLINK("https://klasma.github.io/Logging_1860/artfynd/A 10622-2023 artfynd.xlsx", "A 10622-2023")</f>
        <v/>
      </c>
      <c r="T40">
        <f>HYPERLINK("https://klasma.github.io/Logging_1860/kartor/A 10622-2023 karta.png", "A 10622-2023")</f>
        <v/>
      </c>
      <c r="V40">
        <f>HYPERLINK("https://klasma.github.io/Logging_1860/klagomål/A 10622-2023 FSC-klagomål.docx", "A 10622-2023")</f>
        <v/>
      </c>
      <c r="W40">
        <f>HYPERLINK("https://klasma.github.io/Logging_1860/klagomålsmail/A 10622-2023 FSC-klagomål mail.docx", "A 10622-2023")</f>
        <v/>
      </c>
      <c r="X40">
        <f>HYPERLINK("https://klasma.github.io/Logging_1860/tillsyn/A 10622-2023 tillsynsbegäran.docx", "A 10622-2023")</f>
        <v/>
      </c>
      <c r="Y40">
        <f>HYPERLINK("https://klasma.github.io/Logging_1860/tillsynsmail/A 10622-2023 tillsynsbegäran mail.docx", "A 10622-2023")</f>
        <v/>
      </c>
    </row>
    <row r="41" ht="15" customHeight="1">
      <c r="A41" t="inlineStr">
        <is>
          <t>A 34371-2025</t>
        </is>
      </c>
      <c r="B41" s="1" t="n">
        <v>45846</v>
      </c>
      <c r="C41" s="1" t="n">
        <v>46201</v>
      </c>
      <c r="D41" t="inlineStr">
        <is>
          <t>ÖREBRO LÄN</t>
        </is>
      </c>
      <c r="E41" t="inlineStr">
        <is>
          <t>LAXÅ</t>
        </is>
      </c>
      <c r="F41" t="inlineStr">
        <is>
          <t>Allmännings- och besparingsskogar</t>
        </is>
      </c>
      <c r="G41" t="n">
        <v>7.8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HYPERLINK("https://klasma.github.io/Logging_1860/artfynd/A 34371-2025 artfynd.xlsx", "A 34371-2025")</f>
        <v/>
      </c>
      <c r="T41">
        <f>HYPERLINK("https://klasma.github.io/Logging_1860/kartor/A 34371-2025 karta.png", "A 34371-2025")</f>
        <v/>
      </c>
      <c r="V41">
        <f>HYPERLINK("https://klasma.github.io/Logging_1860/klagomål/A 34371-2025 FSC-klagomål.docx", "A 34371-2025")</f>
        <v/>
      </c>
      <c r="W41">
        <f>HYPERLINK("https://klasma.github.io/Logging_1860/klagomålsmail/A 34371-2025 FSC-klagomål mail.docx", "A 34371-2025")</f>
        <v/>
      </c>
      <c r="X41">
        <f>HYPERLINK("https://klasma.github.io/Logging_1860/tillsyn/A 34371-2025 tillsynsbegäran.docx", "A 34371-2025")</f>
        <v/>
      </c>
      <c r="Y41">
        <f>HYPERLINK("https://klasma.github.io/Logging_1860/tillsynsmail/A 34371-2025 tillsynsbegäran mail.docx", "A 34371-2025")</f>
        <v/>
      </c>
    </row>
    <row r="42" ht="15" customHeight="1">
      <c r="A42" t="inlineStr">
        <is>
          <t>A 28524-2022</t>
        </is>
      </c>
      <c r="B42" s="1" t="n">
        <v>44748</v>
      </c>
      <c r="C42" s="1" t="n">
        <v>46201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5.4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HYPERLINK("https://klasma.github.io/Logging_1860/artfynd/A 28524-2022 artfynd.xlsx", "A 28524-2022")</f>
        <v/>
      </c>
      <c r="T42">
        <f>HYPERLINK("https://klasma.github.io/Logging_1860/kartor/A 28524-2022 karta.png", "A 28524-2022")</f>
        <v/>
      </c>
      <c r="V42">
        <f>HYPERLINK("https://klasma.github.io/Logging_1860/klagomål/A 28524-2022 FSC-klagomål.docx", "A 28524-2022")</f>
        <v/>
      </c>
      <c r="W42">
        <f>HYPERLINK("https://klasma.github.io/Logging_1860/klagomålsmail/A 28524-2022 FSC-klagomål mail.docx", "A 28524-2022")</f>
        <v/>
      </c>
      <c r="X42">
        <f>HYPERLINK("https://klasma.github.io/Logging_1860/tillsyn/A 28524-2022 tillsynsbegäran.docx", "A 28524-2022")</f>
        <v/>
      </c>
      <c r="Y42">
        <f>HYPERLINK("https://klasma.github.io/Logging_1860/tillsynsmail/A 28524-2022 tillsynsbegäran mail.docx", "A 28524-2022")</f>
        <v/>
      </c>
      <c r="Z42">
        <f>HYPERLINK("https://klasma.github.io/Logging_1860/fåglar/A 28524-2022 prioriterade fågelarter.docx", "A 28524-2022")</f>
        <v/>
      </c>
    </row>
    <row r="43" ht="15" customHeight="1">
      <c r="A43" t="inlineStr">
        <is>
          <t>A 60949-2023</t>
        </is>
      </c>
      <c r="B43" s="1" t="n">
        <v>45259</v>
      </c>
      <c r="C43" s="1" t="n">
        <v>46201</v>
      </c>
      <c r="D43" t="inlineStr">
        <is>
          <t>ÖREBRO LÄN</t>
        </is>
      </c>
      <c r="E43" t="inlineStr">
        <is>
          <t>LAXÅ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HYPERLINK("https://klasma.github.io/Logging_1860/artfynd/A 60949-2023 artfynd.xlsx", "A 60949-2023")</f>
        <v/>
      </c>
      <c r="T43">
        <f>HYPERLINK("https://klasma.github.io/Logging_1860/kartor/A 60949-2023 karta.png", "A 60949-2023")</f>
        <v/>
      </c>
      <c r="V43">
        <f>HYPERLINK("https://klasma.github.io/Logging_1860/klagomål/A 60949-2023 FSC-klagomål.docx", "A 60949-2023")</f>
        <v/>
      </c>
      <c r="W43">
        <f>HYPERLINK("https://klasma.github.io/Logging_1860/klagomålsmail/A 60949-2023 FSC-klagomål mail.docx", "A 60949-2023")</f>
        <v/>
      </c>
      <c r="X43">
        <f>HYPERLINK("https://klasma.github.io/Logging_1860/tillsyn/A 60949-2023 tillsynsbegäran.docx", "A 60949-2023")</f>
        <v/>
      </c>
      <c r="Y43">
        <f>HYPERLINK("https://klasma.github.io/Logging_1860/tillsynsmail/A 60949-2023 tillsynsbegäran mail.docx", "A 60949-2023")</f>
        <v/>
      </c>
    </row>
    <row r="44" ht="15" customHeight="1">
      <c r="A44" t="inlineStr">
        <is>
          <t>A 42324-2023</t>
        </is>
      </c>
      <c r="B44" s="1" t="n">
        <v>45180</v>
      </c>
      <c r="C44" s="1" t="n">
        <v>46201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HYPERLINK("https://klasma.github.io/Logging_1860/artfynd/A 42324-2023 artfynd.xlsx", "A 42324-2023")</f>
        <v/>
      </c>
      <c r="T44">
        <f>HYPERLINK("https://klasma.github.io/Logging_1860/kartor/A 42324-2023 karta.png", "A 42324-2023")</f>
        <v/>
      </c>
      <c r="V44">
        <f>HYPERLINK("https://klasma.github.io/Logging_1860/klagomål/A 42324-2023 FSC-klagomål.docx", "A 42324-2023")</f>
        <v/>
      </c>
      <c r="W44">
        <f>HYPERLINK("https://klasma.github.io/Logging_1860/klagomålsmail/A 42324-2023 FSC-klagomål mail.docx", "A 42324-2023")</f>
        <v/>
      </c>
      <c r="X44">
        <f>HYPERLINK("https://klasma.github.io/Logging_1860/tillsyn/A 42324-2023 tillsynsbegäran.docx", "A 42324-2023")</f>
        <v/>
      </c>
      <c r="Y44">
        <f>HYPERLINK("https://klasma.github.io/Logging_1860/tillsynsmail/A 42324-2023 tillsynsbegäran mail.docx", "A 42324-2023")</f>
        <v/>
      </c>
    </row>
    <row r="45" ht="15" customHeight="1">
      <c r="A45" t="inlineStr">
        <is>
          <t>A 55120-2025</t>
        </is>
      </c>
      <c r="B45" s="1" t="n">
        <v>45968</v>
      </c>
      <c r="C45" s="1" t="n">
        <v>46201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HYPERLINK("https://klasma.github.io/Logging_1860/artfynd/A 55120-2025 artfynd.xlsx", "A 55120-2025")</f>
        <v/>
      </c>
      <c r="T45">
        <f>HYPERLINK("https://klasma.github.io/Logging_1860/kartor/A 55120-2025 karta.png", "A 55120-2025")</f>
        <v/>
      </c>
      <c r="V45">
        <f>HYPERLINK("https://klasma.github.io/Logging_1860/klagomål/A 55120-2025 FSC-klagomål.docx", "A 55120-2025")</f>
        <v/>
      </c>
      <c r="W45">
        <f>HYPERLINK("https://klasma.github.io/Logging_1860/klagomålsmail/A 55120-2025 FSC-klagomål mail.docx", "A 55120-2025")</f>
        <v/>
      </c>
      <c r="X45">
        <f>HYPERLINK("https://klasma.github.io/Logging_1860/tillsyn/A 55120-2025 tillsynsbegäran.docx", "A 55120-2025")</f>
        <v/>
      </c>
      <c r="Y45">
        <f>HYPERLINK("https://klasma.github.io/Logging_1860/tillsynsmail/A 55120-2025 tillsynsbegäran mail.docx", "A 55120-2025")</f>
        <v/>
      </c>
    </row>
    <row r="46" ht="15" customHeight="1">
      <c r="A46" t="inlineStr">
        <is>
          <t>A 57423-2025</t>
        </is>
      </c>
      <c r="B46" s="1" t="n">
        <v>45980</v>
      </c>
      <c r="C46" s="1" t="n">
        <v>46201</v>
      </c>
      <c r="D46" t="inlineStr">
        <is>
          <t>ÖREBRO LÄN</t>
        </is>
      </c>
      <c r="E46" t="inlineStr">
        <is>
          <t>LAXÅ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HYPERLINK("https://klasma.github.io/Logging_1860/artfynd/A 57423-2025 artfynd.xlsx", "A 57423-2025")</f>
        <v/>
      </c>
      <c r="T46">
        <f>HYPERLINK("https://klasma.github.io/Logging_1860/kartor/A 57423-2025 karta.png", "A 57423-2025")</f>
        <v/>
      </c>
      <c r="V46">
        <f>HYPERLINK("https://klasma.github.io/Logging_1860/klagomål/A 57423-2025 FSC-klagomål.docx", "A 57423-2025")</f>
        <v/>
      </c>
      <c r="W46">
        <f>HYPERLINK("https://klasma.github.io/Logging_1860/klagomålsmail/A 57423-2025 FSC-klagomål mail.docx", "A 57423-2025")</f>
        <v/>
      </c>
      <c r="X46">
        <f>HYPERLINK("https://klasma.github.io/Logging_1860/tillsyn/A 57423-2025 tillsynsbegäran.docx", "A 57423-2025")</f>
        <v/>
      </c>
      <c r="Y46">
        <f>HYPERLINK("https://klasma.github.io/Logging_1860/tillsynsmail/A 57423-2025 tillsynsbegäran mail.docx", "A 57423-2025")</f>
        <v/>
      </c>
    </row>
    <row r="47" ht="15" customHeight="1">
      <c r="A47" t="inlineStr">
        <is>
          <t>A 54713-2023</t>
        </is>
      </c>
      <c r="B47" s="1" t="n">
        <v>45236</v>
      </c>
      <c r="C47" s="1" t="n">
        <v>46201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HYPERLINK("https://klasma.github.io/Logging_1860/artfynd/A 54713-2023 artfynd.xlsx", "A 54713-2023")</f>
        <v/>
      </c>
      <c r="T47">
        <f>HYPERLINK("https://klasma.github.io/Logging_1860/kartor/A 54713-2023 karta.png", "A 54713-2023")</f>
        <v/>
      </c>
      <c r="V47">
        <f>HYPERLINK("https://klasma.github.io/Logging_1860/klagomål/A 54713-2023 FSC-klagomål.docx", "A 54713-2023")</f>
        <v/>
      </c>
      <c r="W47">
        <f>HYPERLINK("https://klasma.github.io/Logging_1860/klagomålsmail/A 54713-2023 FSC-klagomål mail.docx", "A 54713-2023")</f>
        <v/>
      </c>
      <c r="X47">
        <f>HYPERLINK("https://klasma.github.io/Logging_1860/tillsyn/A 54713-2023 tillsynsbegäran.docx", "A 54713-2023")</f>
        <v/>
      </c>
      <c r="Y47">
        <f>HYPERLINK("https://klasma.github.io/Logging_1860/tillsynsmail/A 54713-2023 tillsynsbegäran mail.docx", "A 54713-2023")</f>
        <v/>
      </c>
      <c r="Z47">
        <f>HYPERLINK("https://klasma.github.io/Logging_1860/fåglar/A 54713-2023 prioriterade fågelarter.docx", "A 54713-2023")</f>
        <v/>
      </c>
    </row>
    <row r="48" ht="15" customHeight="1">
      <c r="A48" t="inlineStr">
        <is>
          <t>A 56022-2025</t>
        </is>
      </c>
      <c r="B48" s="1" t="n">
        <v>45973</v>
      </c>
      <c r="C48" s="1" t="n">
        <v>46201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HYPERLINK("https://klasma.github.io/Logging_1860/artfynd/A 56022-2025 artfynd.xlsx", "A 56022-2025")</f>
        <v/>
      </c>
      <c r="T48">
        <f>HYPERLINK("https://klasma.github.io/Logging_1860/kartor/A 56022-2025 karta.png", "A 56022-2025")</f>
        <v/>
      </c>
      <c r="V48">
        <f>HYPERLINK("https://klasma.github.io/Logging_1860/klagomål/A 56022-2025 FSC-klagomål.docx", "A 56022-2025")</f>
        <v/>
      </c>
      <c r="W48">
        <f>HYPERLINK("https://klasma.github.io/Logging_1860/klagomålsmail/A 56022-2025 FSC-klagomål mail.docx", "A 56022-2025")</f>
        <v/>
      </c>
      <c r="X48">
        <f>HYPERLINK("https://klasma.github.io/Logging_1860/tillsyn/A 56022-2025 tillsynsbegäran.docx", "A 56022-2025")</f>
        <v/>
      </c>
      <c r="Y48">
        <f>HYPERLINK("https://klasma.github.io/Logging_1860/tillsynsmail/A 56022-2025 tillsynsbegäran mail.docx", "A 56022-2025")</f>
        <v/>
      </c>
      <c r="Z48">
        <f>HYPERLINK("https://klasma.github.io/Logging_1860/fåglar/A 56022-2025 prioriterade fågelarter.docx", "A 56022-2025")</f>
        <v/>
      </c>
    </row>
    <row r="49" ht="15" customHeight="1">
      <c r="A49" t="inlineStr">
        <is>
          <t>A 40430-2024</t>
        </is>
      </c>
      <c r="B49" s="1" t="n">
        <v>45555</v>
      </c>
      <c r="C49" s="1" t="n">
        <v>46201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Hårklomossa</t>
        </is>
      </c>
      <c r="S49">
        <f>HYPERLINK("https://klasma.github.io/Logging_1860/artfynd/A 40430-2024 artfynd.xlsx", "A 40430-2024")</f>
        <v/>
      </c>
      <c r="T49">
        <f>HYPERLINK("https://klasma.github.io/Logging_1860/kartor/A 40430-2024 karta.png", "A 40430-2024")</f>
        <v/>
      </c>
      <c r="V49">
        <f>HYPERLINK("https://klasma.github.io/Logging_1860/klagomål/A 40430-2024 FSC-klagomål.docx", "A 40430-2024")</f>
        <v/>
      </c>
      <c r="W49">
        <f>HYPERLINK("https://klasma.github.io/Logging_1860/klagomålsmail/A 40430-2024 FSC-klagomål mail.docx", "A 40430-2024")</f>
        <v/>
      </c>
      <c r="X49">
        <f>HYPERLINK("https://klasma.github.io/Logging_1860/tillsyn/A 40430-2024 tillsynsbegäran.docx", "A 40430-2024")</f>
        <v/>
      </c>
      <c r="Y49">
        <f>HYPERLINK("https://klasma.github.io/Logging_1860/tillsynsmail/A 40430-2024 tillsynsbegäran mail.docx", "A 40430-2024")</f>
        <v/>
      </c>
    </row>
    <row r="50" ht="15" customHeight="1">
      <c r="A50" t="inlineStr">
        <is>
          <t>A 40980-2021</t>
        </is>
      </c>
      <c r="B50" s="1" t="n">
        <v>44421</v>
      </c>
      <c r="C50" s="1" t="n">
        <v>46201</v>
      </c>
      <c r="D50" t="inlineStr">
        <is>
          <t>ÖREBRO LÄN</t>
        </is>
      </c>
      <c r="E50" t="inlineStr">
        <is>
          <t>LAXÅ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5441-2022</t>
        </is>
      </c>
      <c r="B51" s="1" t="n">
        <v>44595</v>
      </c>
      <c r="C51" s="1" t="n">
        <v>46201</v>
      </c>
      <c r="D51" t="inlineStr">
        <is>
          <t>ÖREBRO LÄN</t>
        </is>
      </c>
      <c r="E51" t="inlineStr">
        <is>
          <t>LAXÅ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34137-2021</t>
        </is>
      </c>
      <c r="B52" s="1" t="n">
        <v>44379</v>
      </c>
      <c r="C52" s="1" t="n">
        <v>46201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46201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46201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</v>
      </c>
      <c r="C55" s="1" t="n">
        <v>46201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46201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46201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</v>
      </c>
      <c r="C58" s="1" t="n">
        <v>46201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46201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46201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46201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46201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46201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</v>
      </c>
      <c r="C64" s="1" t="n">
        <v>46201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46201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46201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42184-2021</t>
        </is>
      </c>
      <c r="B67" s="1" t="n">
        <v>44426</v>
      </c>
      <c r="C67" s="1" t="n">
        <v>46201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15502-2022</t>
        </is>
      </c>
      <c r="B68" s="1" t="n">
        <v>44662</v>
      </c>
      <c r="C68" s="1" t="n">
        <v>46201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36348-2022</t>
        </is>
      </c>
      <c r="B69" s="1" t="n">
        <v>44803</v>
      </c>
      <c r="C69" s="1" t="n">
        <v>46201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50543-2021</t>
        </is>
      </c>
      <c r="B70" s="1" t="n">
        <v>44459</v>
      </c>
      <c r="C70" s="1" t="n">
        <v>46201</v>
      </c>
      <c r="D70" t="inlineStr">
        <is>
          <t>ÖREBRO LÄN</t>
        </is>
      </c>
      <c r="E70" t="inlineStr">
        <is>
          <t>LAXÅ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37137-2022</t>
        </is>
      </c>
      <c r="B71" s="1" t="n">
        <v>44805</v>
      </c>
      <c r="C71" s="1" t="n">
        <v>46201</v>
      </c>
      <c r="D71" t="inlineStr">
        <is>
          <t>ÖREBRO LÄN</t>
        </is>
      </c>
      <c r="E71" t="inlineStr">
        <is>
          <t>LAXÅ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34515-2021</t>
        </is>
      </c>
      <c r="B72" s="1" t="n">
        <v>44379</v>
      </c>
      <c r="C72" s="1" t="n">
        <v>46201</v>
      </c>
      <c r="D72" t="inlineStr">
        <is>
          <t>ÖREBRO LÄN</t>
        </is>
      </c>
      <c r="E72" t="inlineStr">
        <is>
          <t>LAXÅ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44099-2021</t>
        </is>
      </c>
      <c r="B73" s="1" t="n">
        <v>44434</v>
      </c>
      <c r="C73" s="1" t="n">
        <v>46201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34668-2021</t>
        </is>
      </c>
      <c r="B74" s="1" t="n">
        <v>44382</v>
      </c>
      <c r="C74" s="1" t="n">
        <v>46201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10041-2022</t>
        </is>
      </c>
      <c r="B75" s="1" t="n">
        <v>44621</v>
      </c>
      <c r="C75" s="1" t="n">
        <v>46201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46201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2372-2022</t>
        </is>
      </c>
      <c r="B77" s="1" t="n">
        <v>44579</v>
      </c>
      <c r="C77" s="1" t="n">
        <v>46201</v>
      </c>
      <c r="D77" t="inlineStr">
        <is>
          <t>ÖREBRO LÄN</t>
        </is>
      </c>
      <c r="E77" t="inlineStr">
        <is>
          <t>LAXÅ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</v>
      </c>
      <c r="C78" s="1" t="n">
        <v>46201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8898-2022</t>
        </is>
      </c>
      <c r="B79" s="1" t="n">
        <v>44614</v>
      </c>
      <c r="C79" s="1" t="n">
        <v>46201</v>
      </c>
      <c r="D79" t="inlineStr">
        <is>
          <t>ÖREBRO LÄN</t>
        </is>
      </c>
      <c r="E79" t="inlineStr">
        <is>
          <t>LAXÅ</t>
        </is>
      </c>
      <c r="F79" t="inlineStr">
        <is>
          <t>Kyrkan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42395-2021</t>
        </is>
      </c>
      <c r="B80" s="1" t="n">
        <v>44427</v>
      </c>
      <c r="C80" s="1" t="n">
        <v>46201</v>
      </c>
      <c r="D80" t="inlineStr">
        <is>
          <t>ÖREBRO LÄN</t>
        </is>
      </c>
      <c r="E80" t="inlineStr">
        <is>
          <t>LAXÅ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46201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69035-2021</t>
        </is>
      </c>
      <c r="B82" s="1" t="n">
        <v>44530</v>
      </c>
      <c r="C82" s="1" t="n">
        <v>46201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62437-2021</t>
        </is>
      </c>
      <c r="B83" s="1" t="n">
        <v>44503</v>
      </c>
      <c r="C83" s="1" t="n">
        <v>46201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</v>
      </c>
      <c r="C84" s="1" t="n">
        <v>46201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46201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15518-2022</t>
        </is>
      </c>
      <c r="B86" s="1" t="n">
        <v>44662</v>
      </c>
      <c r="C86" s="1" t="n">
        <v>46201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15130-2025</t>
        </is>
      </c>
      <c r="B87" s="1" t="n">
        <v>45744</v>
      </c>
      <c r="C87" s="1" t="n">
        <v>46201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6294-2024</t>
        </is>
      </c>
      <c r="B88" s="1" t="n">
        <v>45338</v>
      </c>
      <c r="C88" s="1" t="n">
        <v>46201</v>
      </c>
      <c r="D88" t="inlineStr">
        <is>
          <t>ÖREBRO LÄN</t>
        </is>
      </c>
      <c r="E88" t="inlineStr">
        <is>
          <t>LAXÅ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33863-2021</t>
        </is>
      </c>
      <c r="B89" s="1" t="n">
        <v>44378</v>
      </c>
      <c r="C89" s="1" t="n">
        <v>46201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62454-2021</t>
        </is>
      </c>
      <c r="B90" s="1" t="n">
        <v>44503</v>
      </c>
      <c r="C90" s="1" t="n">
        <v>46201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</v>
      </c>
      <c r="C91" s="1" t="n">
        <v>46201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62423-2021</t>
        </is>
      </c>
      <c r="B92" s="1" t="n">
        <v>44503</v>
      </c>
      <c r="C92" s="1" t="n">
        <v>46201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</v>
      </c>
      <c r="C93" s="1" t="n">
        <v>46201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50578-2024</t>
        </is>
      </c>
      <c r="B94" s="1" t="n">
        <v>45601</v>
      </c>
      <c r="C94" s="1" t="n">
        <v>46201</v>
      </c>
      <c r="D94" t="inlineStr">
        <is>
          <t>ÖREBRO LÄN</t>
        </is>
      </c>
      <c r="E94" t="inlineStr">
        <is>
          <t>LAXÅ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36928-2021</t>
        </is>
      </c>
      <c r="B95" s="1" t="n">
        <v>44393</v>
      </c>
      <c r="C95" s="1" t="n">
        <v>46201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25744-2023</t>
        </is>
      </c>
      <c r="B96" s="1" t="n">
        <v>45090</v>
      </c>
      <c r="C96" s="1" t="n">
        <v>46201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41456-2023</t>
        </is>
      </c>
      <c r="B97" s="1" t="n">
        <v>45175</v>
      </c>
      <c r="C97" s="1" t="n">
        <v>46201</v>
      </c>
      <c r="D97" t="inlineStr">
        <is>
          <t>ÖREBRO LÄN</t>
        </is>
      </c>
      <c r="E97" t="inlineStr">
        <is>
          <t>LAXÅ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34481-2022</t>
        </is>
      </c>
      <c r="B98" s="1" t="n">
        <v>44792</v>
      </c>
      <c r="C98" s="1" t="n">
        <v>46201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38613-2023</t>
        </is>
      </c>
      <c r="B99" s="1" t="n">
        <v>45160</v>
      </c>
      <c r="C99" s="1" t="n">
        <v>46201</v>
      </c>
      <c r="D99" t="inlineStr">
        <is>
          <t>ÖREBRO LÄN</t>
        </is>
      </c>
      <c r="E99" t="inlineStr">
        <is>
          <t>LAXÅ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44076-2024</t>
        </is>
      </c>
      <c r="B100" s="1" t="n">
        <v>45572</v>
      </c>
      <c r="C100" s="1" t="n">
        <v>46201</v>
      </c>
      <c r="D100" t="inlineStr">
        <is>
          <t>ÖREBRO LÄN</t>
        </is>
      </c>
      <c r="E100" t="inlineStr">
        <is>
          <t>LAXÅ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38288-2023</t>
        </is>
      </c>
      <c r="B101" s="1" t="n">
        <v>45161</v>
      </c>
      <c r="C101" s="1" t="n">
        <v>46201</v>
      </c>
      <c r="D101" t="inlineStr">
        <is>
          <t>ÖREBRO LÄN</t>
        </is>
      </c>
      <c r="E101" t="inlineStr">
        <is>
          <t>LAXÅ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21005-2024</t>
        </is>
      </c>
      <c r="B102" s="1" t="n">
        <v>45439</v>
      </c>
      <c r="C102" s="1" t="n">
        <v>46201</v>
      </c>
      <c r="D102" t="inlineStr">
        <is>
          <t>ÖREBRO LÄN</t>
        </is>
      </c>
      <c r="E102" t="inlineStr">
        <is>
          <t>LAXÅ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25602-2023</t>
        </is>
      </c>
      <c r="B103" s="1" t="n">
        <v>45089</v>
      </c>
      <c r="C103" s="1" t="n">
        <v>46201</v>
      </c>
      <c r="D103" t="inlineStr">
        <is>
          <t>ÖREBRO LÄN</t>
        </is>
      </c>
      <c r="E103" t="inlineStr">
        <is>
          <t>LAXÅ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36420-2024</t>
        </is>
      </c>
      <c r="B104" s="1" t="n">
        <v>45536</v>
      </c>
      <c r="C104" s="1" t="n">
        <v>46201</v>
      </c>
      <c r="D104" t="inlineStr">
        <is>
          <t>ÖREBRO LÄN</t>
        </is>
      </c>
      <c r="E104" t="inlineStr">
        <is>
          <t>LAXÅ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61090-2023</t>
        </is>
      </c>
      <c r="B105" s="1" t="n">
        <v>45261</v>
      </c>
      <c r="C105" s="1" t="n">
        <v>46201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7932-2024</t>
        </is>
      </c>
      <c r="B106" s="1" t="n">
        <v>45349</v>
      </c>
      <c r="C106" s="1" t="n">
        <v>46201</v>
      </c>
      <c r="D106" t="inlineStr">
        <is>
          <t>ÖREBRO LÄN</t>
        </is>
      </c>
      <c r="E106" t="inlineStr">
        <is>
          <t>LAXÅ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53016-2023</t>
        </is>
      </c>
      <c r="B107" s="1" t="n">
        <v>45226</v>
      </c>
      <c r="C107" s="1" t="n">
        <v>46201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12651-2024</t>
        </is>
      </c>
      <c r="B108" s="1" t="n">
        <v>45384</v>
      </c>
      <c r="C108" s="1" t="n">
        <v>46201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26412-2023</t>
        </is>
      </c>
      <c r="B109" s="1" t="n">
        <v>45092</v>
      </c>
      <c r="C109" s="1" t="n">
        <v>46201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15650-2023</t>
        </is>
      </c>
      <c r="B110" s="1" t="n">
        <v>45021</v>
      </c>
      <c r="C110" s="1" t="n">
        <v>46201</v>
      </c>
      <c r="D110" t="inlineStr">
        <is>
          <t>ÖREBRO LÄN</t>
        </is>
      </c>
      <c r="E110" t="inlineStr">
        <is>
          <t>LAXÅ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7137-2024</t>
        </is>
      </c>
      <c r="B111" s="1" t="n">
        <v>45344</v>
      </c>
      <c r="C111" s="1" t="n">
        <v>46201</v>
      </c>
      <c r="D111" t="inlineStr">
        <is>
          <t>ÖREBRO LÄN</t>
        </is>
      </c>
      <c r="E111" t="inlineStr">
        <is>
          <t>LAXÅ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12063-2024</t>
        </is>
      </c>
      <c r="B112" s="1" t="n">
        <v>45377</v>
      </c>
      <c r="C112" s="1" t="n">
        <v>46201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13888-2024</t>
        </is>
      </c>
      <c r="B113" s="1" t="n">
        <v>45391</v>
      </c>
      <c r="C113" s="1" t="n">
        <v>46201</v>
      </c>
      <c r="D113" t="inlineStr">
        <is>
          <t>ÖREBRO LÄN</t>
        </is>
      </c>
      <c r="E113" t="inlineStr">
        <is>
          <t>LAXÅ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55207-2021</t>
        </is>
      </c>
      <c r="B114" s="1" t="n">
        <v>44475</v>
      </c>
      <c r="C114" s="1" t="n">
        <v>46201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34437-2022</t>
        </is>
      </c>
      <c r="B115" s="1" t="n">
        <v>44792</v>
      </c>
      <c r="C115" s="1" t="n">
        <v>46201</v>
      </c>
      <c r="D115" t="inlineStr">
        <is>
          <t>ÖREBRO LÄN</t>
        </is>
      </c>
      <c r="E115" t="inlineStr">
        <is>
          <t>LAXÅ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51822-2022</t>
        </is>
      </c>
      <c r="B116" s="1" t="n">
        <v>44872</v>
      </c>
      <c r="C116" s="1" t="n">
        <v>46201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19816-2025</t>
        </is>
      </c>
      <c r="B117" s="1" t="n">
        <v>45771</v>
      </c>
      <c r="C117" s="1" t="n">
        <v>46201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19820-2025</t>
        </is>
      </c>
      <c r="B118" s="1" t="n">
        <v>45771</v>
      </c>
      <c r="C118" s="1" t="n">
        <v>46201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52442-2022</t>
        </is>
      </c>
      <c r="B119" s="1" t="n">
        <v>44874</v>
      </c>
      <c r="C119" s="1" t="n">
        <v>46201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7130-2024</t>
        </is>
      </c>
      <c r="B120" s="1" t="n">
        <v>45344</v>
      </c>
      <c r="C120" s="1" t="n">
        <v>46201</v>
      </c>
      <c r="D120" t="inlineStr">
        <is>
          <t>ÖREBRO LÄN</t>
        </is>
      </c>
      <c r="E120" t="inlineStr">
        <is>
          <t>LAXÅ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43796-2021</t>
        </is>
      </c>
      <c r="B121" s="1" t="n">
        <v>44433</v>
      </c>
      <c r="C121" s="1" t="n">
        <v>46201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60748-2023</t>
        </is>
      </c>
      <c r="B122" s="1" t="n">
        <v>45260</v>
      </c>
      <c r="C122" s="1" t="n">
        <v>46201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50265-2024</t>
        </is>
      </c>
      <c r="B123" s="1" t="n">
        <v>45600</v>
      </c>
      <c r="C123" s="1" t="n">
        <v>46201</v>
      </c>
      <c r="D123" t="inlineStr">
        <is>
          <t>ÖREBRO LÄN</t>
        </is>
      </c>
      <c r="E123" t="inlineStr">
        <is>
          <t>LAXÅ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51714-2022</t>
        </is>
      </c>
      <c r="B124" s="1" t="n">
        <v>44872</v>
      </c>
      <c r="C124" s="1" t="n">
        <v>46201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59455-2022</t>
        </is>
      </c>
      <c r="B125" s="1" t="n">
        <v>44907</v>
      </c>
      <c r="C125" s="1" t="n">
        <v>46201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52751-2021</t>
        </is>
      </c>
      <c r="B126" s="1" t="n">
        <v>44467</v>
      </c>
      <c r="C126" s="1" t="n">
        <v>46201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54511-2023</t>
        </is>
      </c>
      <c r="B127" s="1" t="n">
        <v>45233</v>
      </c>
      <c r="C127" s="1" t="n">
        <v>46201</v>
      </c>
      <c r="D127" t="inlineStr">
        <is>
          <t>ÖREBRO LÄN</t>
        </is>
      </c>
      <c r="E127" t="inlineStr">
        <is>
          <t>LAXÅ</t>
        </is>
      </c>
      <c r="F127" t="inlineStr">
        <is>
          <t>Övriga statliga verk och myndigheter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36567-2024</t>
        </is>
      </c>
      <c r="B128" s="1" t="n">
        <v>45537</v>
      </c>
      <c r="C128" s="1" t="n">
        <v>46201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46134-2021</t>
        </is>
      </c>
      <c r="B129" s="1" t="n">
        <v>44441</v>
      </c>
      <c r="C129" s="1" t="n">
        <v>46201</v>
      </c>
      <c r="D129" t="inlineStr">
        <is>
          <t>ÖREBRO LÄN</t>
        </is>
      </c>
      <c r="E129" t="inlineStr">
        <is>
          <t>LAXÅ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5917-2023</t>
        </is>
      </c>
      <c r="B130" s="1" t="n">
        <v>44963</v>
      </c>
      <c r="C130" s="1" t="n">
        <v>46201</v>
      </c>
      <c r="D130" t="inlineStr">
        <is>
          <t>ÖREBRO LÄN</t>
        </is>
      </c>
      <c r="E130" t="inlineStr">
        <is>
          <t>LAXÅ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41853-2024</t>
        </is>
      </c>
      <c r="B131" s="1" t="n">
        <v>45561</v>
      </c>
      <c r="C131" s="1" t="n">
        <v>46201</v>
      </c>
      <c r="D131" t="inlineStr">
        <is>
          <t>ÖREBRO LÄN</t>
        </is>
      </c>
      <c r="E131" t="inlineStr">
        <is>
          <t>LAXÅ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14205-2025</t>
        </is>
      </c>
      <c r="B132" s="1" t="n">
        <v>45740</v>
      </c>
      <c r="C132" s="1" t="n">
        <v>46201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61677-2022</t>
        </is>
      </c>
      <c r="B133" s="1" t="n">
        <v>44917</v>
      </c>
      <c r="C133" s="1" t="n">
        <v>46201</v>
      </c>
      <c r="D133" t="inlineStr">
        <is>
          <t>ÖREBRO LÄN</t>
        </is>
      </c>
      <c r="E133" t="inlineStr">
        <is>
          <t>LAXÅ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48782-2024</t>
        </is>
      </c>
      <c r="B134" s="1" t="n">
        <v>45593</v>
      </c>
      <c r="C134" s="1" t="n">
        <v>46201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38564-2022</t>
        </is>
      </c>
      <c r="B135" s="1" t="n">
        <v>44813</v>
      </c>
      <c r="C135" s="1" t="n">
        <v>46201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38620-2023</t>
        </is>
      </c>
      <c r="B136" s="1" t="n">
        <v>45160</v>
      </c>
      <c r="C136" s="1" t="n">
        <v>46201</v>
      </c>
      <c r="D136" t="inlineStr">
        <is>
          <t>ÖREBRO LÄN</t>
        </is>
      </c>
      <c r="E136" t="inlineStr">
        <is>
          <t>LAXÅ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6452-2024</t>
        </is>
      </c>
      <c r="B137" s="1" t="n">
        <v>45338</v>
      </c>
      <c r="C137" s="1" t="n">
        <v>46201</v>
      </c>
      <c r="D137" t="inlineStr">
        <is>
          <t>ÖREBRO LÄN</t>
        </is>
      </c>
      <c r="E137" t="inlineStr">
        <is>
          <t>LAXÅ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50262-2024</t>
        </is>
      </c>
      <c r="B138" s="1" t="n">
        <v>45600</v>
      </c>
      <c r="C138" s="1" t="n">
        <v>46201</v>
      </c>
      <c r="D138" t="inlineStr">
        <is>
          <t>ÖREBRO LÄN</t>
        </is>
      </c>
      <c r="E138" t="inlineStr">
        <is>
          <t>LAXÅ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36889-2021</t>
        </is>
      </c>
      <c r="B139" s="1" t="n">
        <v>44393</v>
      </c>
      <c r="C139" s="1" t="n">
        <v>46201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36421-2024</t>
        </is>
      </c>
      <c r="B140" s="1" t="n">
        <v>45536</v>
      </c>
      <c r="C140" s="1" t="n">
        <v>46201</v>
      </c>
      <c r="D140" t="inlineStr">
        <is>
          <t>ÖREBRO LÄN</t>
        </is>
      </c>
      <c r="E140" t="inlineStr">
        <is>
          <t>LAXÅ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35130-2022</t>
        </is>
      </c>
      <c r="B141" s="1" t="n">
        <v>44797</v>
      </c>
      <c r="C141" s="1" t="n">
        <v>46201</v>
      </c>
      <c r="D141" t="inlineStr">
        <is>
          <t>ÖREBRO LÄN</t>
        </is>
      </c>
      <c r="E141" t="inlineStr">
        <is>
          <t>LAXÅ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6178-2024</t>
        </is>
      </c>
      <c r="B142" s="1" t="n">
        <v>45337</v>
      </c>
      <c r="C142" s="1" t="n">
        <v>46201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10673-2023</t>
        </is>
      </c>
      <c r="B143" s="1" t="n">
        <v>44988</v>
      </c>
      <c r="C143" s="1" t="n">
        <v>46201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36902-2021</t>
        </is>
      </c>
      <c r="B144" s="1" t="n">
        <v>44393</v>
      </c>
      <c r="C144" s="1" t="n">
        <v>46201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40815-2024</t>
        </is>
      </c>
      <c r="B145" s="1" t="n">
        <v>45558</v>
      </c>
      <c r="C145" s="1" t="n">
        <v>46201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34218-2023</t>
        </is>
      </c>
      <c r="B146" s="1" t="n">
        <v>45126</v>
      </c>
      <c r="C146" s="1" t="n">
        <v>46201</v>
      </c>
      <c r="D146" t="inlineStr">
        <is>
          <t>ÖREBRO LÄN</t>
        </is>
      </c>
      <c r="E146" t="inlineStr">
        <is>
          <t>LAXÅ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34225-2023</t>
        </is>
      </c>
      <c r="B147" s="1" t="n">
        <v>45126</v>
      </c>
      <c r="C147" s="1" t="n">
        <v>46201</v>
      </c>
      <c r="D147" t="inlineStr">
        <is>
          <t>ÖREBRO LÄN</t>
        </is>
      </c>
      <c r="E147" t="inlineStr">
        <is>
          <t>LAXÅ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61051-2023</t>
        </is>
      </c>
      <c r="B148" s="1" t="n">
        <v>45261</v>
      </c>
      <c r="C148" s="1" t="n">
        <v>46201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54093-2023</t>
        </is>
      </c>
      <c r="B149" s="1" t="n">
        <v>45225</v>
      </c>
      <c r="C149" s="1" t="n">
        <v>46201</v>
      </c>
      <c r="D149" t="inlineStr">
        <is>
          <t>ÖREBRO LÄN</t>
        </is>
      </c>
      <c r="E149" t="inlineStr">
        <is>
          <t>LAXÅ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62594-2023</t>
        </is>
      </c>
      <c r="B150" s="1" t="n">
        <v>45271</v>
      </c>
      <c r="C150" s="1" t="n">
        <v>46201</v>
      </c>
      <c r="D150" t="inlineStr">
        <is>
          <t>ÖREBRO LÄN</t>
        </is>
      </c>
      <c r="E150" t="inlineStr">
        <is>
          <t>LAXÅ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33186-2023</t>
        </is>
      </c>
      <c r="B151" s="1" t="n">
        <v>45127</v>
      </c>
      <c r="C151" s="1" t="n">
        <v>46201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57747-2022</t>
        </is>
      </c>
      <c r="B152" s="1" t="n">
        <v>44897</v>
      </c>
      <c r="C152" s="1" t="n">
        <v>46201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48849-2023</t>
        </is>
      </c>
      <c r="B153" s="1" t="n">
        <v>45209</v>
      </c>
      <c r="C153" s="1" t="n">
        <v>46201</v>
      </c>
      <c r="D153" t="inlineStr">
        <is>
          <t>ÖREBRO LÄN</t>
        </is>
      </c>
      <c r="E153" t="inlineStr">
        <is>
          <t>LAXÅ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28112-2022</t>
        </is>
      </c>
      <c r="B154" s="1" t="n">
        <v>44746</v>
      </c>
      <c r="C154" s="1" t="n">
        <v>46201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16682-2024</t>
        </is>
      </c>
      <c r="B155" s="1" t="n">
        <v>45408</v>
      </c>
      <c r="C155" s="1" t="n">
        <v>46201</v>
      </c>
      <c r="D155" t="inlineStr">
        <is>
          <t>ÖREBRO LÄN</t>
        </is>
      </c>
      <c r="E155" t="inlineStr">
        <is>
          <t>LAXÅ</t>
        </is>
      </c>
      <c r="F155" t="inlineStr">
        <is>
          <t>Allmännings- och besparingsskogar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33692-2023</t>
        </is>
      </c>
      <c r="B156" s="1" t="n">
        <v>45132</v>
      </c>
      <c r="C156" s="1" t="n">
        <v>46201</v>
      </c>
      <c r="D156" t="inlineStr">
        <is>
          <t>ÖREBRO LÄN</t>
        </is>
      </c>
      <c r="E156" t="inlineStr">
        <is>
          <t>LAXÅ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33696-2023</t>
        </is>
      </c>
      <c r="B157" s="1" t="n">
        <v>45132</v>
      </c>
      <c r="C157" s="1" t="n">
        <v>46201</v>
      </c>
      <c r="D157" t="inlineStr">
        <is>
          <t>ÖREBRO LÄN</t>
        </is>
      </c>
      <c r="E157" t="inlineStr">
        <is>
          <t>LAXÅ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6300-2024</t>
        </is>
      </c>
      <c r="B158" s="1" t="n">
        <v>45338</v>
      </c>
      <c r="C158" s="1" t="n">
        <v>46201</v>
      </c>
      <c r="D158" t="inlineStr">
        <is>
          <t>ÖREBRO LÄN</t>
        </is>
      </c>
      <c r="E158" t="inlineStr">
        <is>
          <t>LAXÅ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67053-2021</t>
        </is>
      </c>
      <c r="B159" s="1" t="n">
        <v>44522</v>
      </c>
      <c r="C159" s="1" t="n">
        <v>46201</v>
      </c>
      <c r="D159" t="inlineStr">
        <is>
          <t>ÖREBRO LÄN</t>
        </is>
      </c>
      <c r="E159" t="inlineStr">
        <is>
          <t>LAXÅ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12430-2023</t>
        </is>
      </c>
      <c r="B160" s="1" t="n">
        <v>44998</v>
      </c>
      <c r="C160" s="1" t="n">
        <v>46201</v>
      </c>
      <c r="D160" t="inlineStr">
        <is>
          <t>ÖREBRO LÄN</t>
        </is>
      </c>
      <c r="E160" t="inlineStr">
        <is>
          <t>LAXÅ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33774-2022</t>
        </is>
      </c>
      <c r="B161" s="1" t="n">
        <v>44790</v>
      </c>
      <c r="C161" s="1" t="n">
        <v>46201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34594-2022</t>
        </is>
      </c>
      <c r="B162" s="1" t="n">
        <v>44795</v>
      </c>
      <c r="C162" s="1" t="n">
        <v>46201</v>
      </c>
      <c r="D162" t="inlineStr">
        <is>
          <t>ÖREBRO LÄN</t>
        </is>
      </c>
      <c r="E162" t="inlineStr">
        <is>
          <t>LAXÅ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55212-2021</t>
        </is>
      </c>
      <c r="B163" s="1" t="n">
        <v>44475</v>
      </c>
      <c r="C163" s="1" t="n">
        <v>46201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55214-2021</t>
        </is>
      </c>
      <c r="B164" s="1" t="n">
        <v>44475</v>
      </c>
      <c r="C164" s="1" t="n">
        <v>46201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57515-2023</t>
        </is>
      </c>
      <c r="B165" s="1" t="n">
        <v>45240</v>
      </c>
      <c r="C165" s="1" t="n">
        <v>46201</v>
      </c>
      <c r="D165" t="inlineStr">
        <is>
          <t>ÖREBRO LÄN</t>
        </is>
      </c>
      <c r="E165" t="inlineStr">
        <is>
          <t>LAXÅ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15213-2024</t>
        </is>
      </c>
      <c r="B166" s="1" t="n">
        <v>45400</v>
      </c>
      <c r="C166" s="1" t="n">
        <v>46201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10680-2023</t>
        </is>
      </c>
      <c r="B167" s="1" t="n">
        <v>44988</v>
      </c>
      <c r="C167" s="1" t="n">
        <v>46201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67052-2021</t>
        </is>
      </c>
      <c r="B168" s="1" t="n">
        <v>44522</v>
      </c>
      <c r="C168" s="1" t="n">
        <v>46201</v>
      </c>
      <c r="D168" t="inlineStr">
        <is>
          <t>ÖREBRO LÄN</t>
        </is>
      </c>
      <c r="E168" t="inlineStr">
        <is>
          <t>LAXÅ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8530-2025</t>
        </is>
      </c>
      <c r="B169" s="1" t="n">
        <v>45709</v>
      </c>
      <c r="C169" s="1" t="n">
        <v>46201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56135-2022</t>
        </is>
      </c>
      <c r="B170" s="1" t="n">
        <v>44886</v>
      </c>
      <c r="C170" s="1" t="n">
        <v>46201</v>
      </c>
      <c r="D170" t="inlineStr">
        <is>
          <t>ÖREBRO LÄN</t>
        </is>
      </c>
      <c r="E170" t="inlineStr">
        <is>
          <t>LAXÅ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57497-2023</t>
        </is>
      </c>
      <c r="B171" s="1" t="n">
        <v>45240</v>
      </c>
      <c r="C171" s="1" t="n">
        <v>46201</v>
      </c>
      <c r="D171" t="inlineStr">
        <is>
          <t>ÖREBRO LÄN</t>
        </is>
      </c>
      <c r="E171" t="inlineStr">
        <is>
          <t>LAXÅ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57503-2023</t>
        </is>
      </c>
      <c r="B172" s="1" t="n">
        <v>45240</v>
      </c>
      <c r="C172" s="1" t="n">
        <v>46201</v>
      </c>
      <c r="D172" t="inlineStr">
        <is>
          <t>ÖREBRO LÄN</t>
        </is>
      </c>
      <c r="E172" t="inlineStr">
        <is>
          <t>LAXÅ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25563-2022</t>
        </is>
      </c>
      <c r="B173" s="1" t="n">
        <v>44732</v>
      </c>
      <c r="C173" s="1" t="n">
        <v>46201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22797-2024</t>
        </is>
      </c>
      <c r="B174" s="1" t="n">
        <v>45448</v>
      </c>
      <c r="C174" s="1" t="n">
        <v>46201</v>
      </c>
      <c r="D174" t="inlineStr">
        <is>
          <t>ÖREBRO LÄN</t>
        </is>
      </c>
      <c r="E174" t="inlineStr">
        <is>
          <t>LAXÅ</t>
        </is>
      </c>
      <c r="F174" t="inlineStr">
        <is>
          <t>Övriga statliga verk och myndigheter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34535-2024</t>
        </is>
      </c>
      <c r="B175" s="1" t="n">
        <v>45525</v>
      </c>
      <c r="C175" s="1" t="n">
        <v>46201</v>
      </c>
      <c r="D175" t="inlineStr">
        <is>
          <t>ÖREBRO LÄN</t>
        </is>
      </c>
      <c r="E175" t="inlineStr">
        <is>
          <t>LAXÅ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57521-2023</t>
        </is>
      </c>
      <c r="B176" s="1" t="n">
        <v>45240</v>
      </c>
      <c r="C176" s="1" t="n">
        <v>46201</v>
      </c>
      <c r="D176" t="inlineStr">
        <is>
          <t>ÖREBRO LÄN</t>
        </is>
      </c>
      <c r="E176" t="inlineStr">
        <is>
          <t>LAXÅ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57534-2023</t>
        </is>
      </c>
      <c r="B177" s="1" t="n">
        <v>45240</v>
      </c>
      <c r="C177" s="1" t="n">
        <v>46201</v>
      </c>
      <c r="D177" t="inlineStr">
        <is>
          <t>ÖREBRO LÄN</t>
        </is>
      </c>
      <c r="E177" t="inlineStr">
        <is>
          <t>LAXÅ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62439-2021</t>
        </is>
      </c>
      <c r="B178" s="1" t="n">
        <v>44503</v>
      </c>
      <c r="C178" s="1" t="n">
        <v>46201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31189-2024</t>
        </is>
      </c>
      <c r="B179" s="1" t="n">
        <v>45503</v>
      </c>
      <c r="C179" s="1" t="n">
        <v>46201</v>
      </c>
      <c r="D179" t="inlineStr">
        <is>
          <t>ÖREBRO LÄN</t>
        </is>
      </c>
      <c r="E179" t="inlineStr">
        <is>
          <t>LAXÅ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31190-2024</t>
        </is>
      </c>
      <c r="B180" s="1" t="n">
        <v>45503</v>
      </c>
      <c r="C180" s="1" t="n">
        <v>46201</v>
      </c>
      <c r="D180" t="inlineStr">
        <is>
          <t>ÖREBRO LÄN</t>
        </is>
      </c>
      <c r="E180" t="inlineStr">
        <is>
          <t>LAXÅ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60732-2023</t>
        </is>
      </c>
      <c r="B181" s="1" t="n">
        <v>45260</v>
      </c>
      <c r="C181" s="1" t="n">
        <v>46201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37570-2023</t>
        </is>
      </c>
      <c r="B182" s="1" t="n">
        <v>45159</v>
      </c>
      <c r="C182" s="1" t="n">
        <v>46201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38547-2022</t>
        </is>
      </c>
      <c r="B183" s="1" t="n">
        <v>44813</v>
      </c>
      <c r="C183" s="1" t="n">
        <v>46201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38554-2022</t>
        </is>
      </c>
      <c r="B184" s="1" t="n">
        <v>44813</v>
      </c>
      <c r="C184" s="1" t="n">
        <v>46201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12060-2024</t>
        </is>
      </c>
      <c r="B185" s="1" t="n">
        <v>45377</v>
      </c>
      <c r="C185" s="1" t="n">
        <v>46201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21764-2022</t>
        </is>
      </c>
      <c r="B186" s="1" t="n">
        <v>44708</v>
      </c>
      <c r="C186" s="1" t="n">
        <v>46201</v>
      </c>
      <c r="D186" t="inlineStr">
        <is>
          <t>ÖREBRO LÄN</t>
        </is>
      </c>
      <c r="E186" t="inlineStr">
        <is>
          <t>LAXÅ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19835-2025</t>
        </is>
      </c>
      <c r="B187" s="1" t="n">
        <v>45771</v>
      </c>
      <c r="C187" s="1" t="n">
        <v>46201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11139-2023</t>
        </is>
      </c>
      <c r="B188" s="1" t="n">
        <v>44987</v>
      </c>
      <c r="C188" s="1" t="n">
        <v>46201</v>
      </c>
      <c r="D188" t="inlineStr">
        <is>
          <t>ÖREBRO LÄN</t>
        </is>
      </c>
      <c r="E188" t="inlineStr">
        <is>
          <t>LAXÅ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50402-2023</t>
        </is>
      </c>
      <c r="B189" s="1" t="n">
        <v>45216</v>
      </c>
      <c r="C189" s="1" t="n">
        <v>46201</v>
      </c>
      <c r="D189" t="inlineStr">
        <is>
          <t>ÖREBRO LÄN</t>
        </is>
      </c>
      <c r="E189" t="inlineStr">
        <is>
          <t>LAXÅ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61091-2023</t>
        </is>
      </c>
      <c r="B190" s="1" t="n">
        <v>45261</v>
      </c>
      <c r="C190" s="1" t="n">
        <v>46201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19807-2025</t>
        </is>
      </c>
      <c r="B191" s="1" t="n">
        <v>45771</v>
      </c>
      <c r="C191" s="1" t="n">
        <v>46201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56555-2024</t>
        </is>
      </c>
      <c r="B192" s="1" t="n">
        <v>45625</v>
      </c>
      <c r="C192" s="1" t="n">
        <v>46201</v>
      </c>
      <c r="D192" t="inlineStr">
        <is>
          <t>ÖREBRO LÄN</t>
        </is>
      </c>
      <c r="E192" t="inlineStr">
        <is>
          <t>LAXÅ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29090-2025</t>
        </is>
      </c>
      <c r="B193" s="1" t="n">
        <v>45821</v>
      </c>
      <c r="C193" s="1" t="n">
        <v>46201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29087-2025</t>
        </is>
      </c>
      <c r="B194" s="1" t="n">
        <v>45821</v>
      </c>
      <c r="C194" s="1" t="n">
        <v>46201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29089-2025</t>
        </is>
      </c>
      <c r="B195" s="1" t="n">
        <v>45821</v>
      </c>
      <c r="C195" s="1" t="n">
        <v>46201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23674-2024</t>
        </is>
      </c>
      <c r="B196" s="1" t="n">
        <v>45454</v>
      </c>
      <c r="C196" s="1" t="n">
        <v>46201</v>
      </c>
      <c r="D196" t="inlineStr">
        <is>
          <t>ÖREBRO LÄN</t>
        </is>
      </c>
      <c r="E196" t="inlineStr">
        <is>
          <t>LAXÅ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11476-2023</t>
        </is>
      </c>
      <c r="B197" s="1" t="n">
        <v>44993</v>
      </c>
      <c r="C197" s="1" t="n">
        <v>46201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11477-2023</t>
        </is>
      </c>
      <c r="B198" s="1" t="n">
        <v>44993</v>
      </c>
      <c r="C198" s="1" t="n">
        <v>46201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30384-2025</t>
        </is>
      </c>
      <c r="B199" s="1" t="n">
        <v>45827</v>
      </c>
      <c r="C199" s="1" t="n">
        <v>46201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30334-2025</t>
        </is>
      </c>
      <c r="B200" s="1" t="n">
        <v>45827</v>
      </c>
      <c r="C200" s="1" t="n">
        <v>46201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33929-2023</t>
        </is>
      </c>
      <c r="B201" s="1" t="n">
        <v>45134</v>
      </c>
      <c r="C201" s="1" t="n">
        <v>46201</v>
      </c>
      <c r="D201" t="inlineStr">
        <is>
          <t>ÖREBRO LÄN</t>
        </is>
      </c>
      <c r="E201" t="inlineStr">
        <is>
          <t>LAXÅ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33930-2023</t>
        </is>
      </c>
      <c r="B202" s="1" t="n">
        <v>45134</v>
      </c>
      <c r="C202" s="1" t="n">
        <v>46201</v>
      </c>
      <c r="D202" t="inlineStr">
        <is>
          <t>ÖREBRO LÄN</t>
        </is>
      </c>
      <c r="E202" t="inlineStr">
        <is>
          <t>LAXÅ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1662-2024</t>
        </is>
      </c>
      <c r="B203" s="1" t="n">
        <v>45306</v>
      </c>
      <c r="C203" s="1" t="n">
        <v>46201</v>
      </c>
      <c r="D203" t="inlineStr">
        <is>
          <t>ÖREBRO LÄN</t>
        </is>
      </c>
      <c r="E203" t="inlineStr">
        <is>
          <t>LAXÅ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14008-2024</t>
        </is>
      </c>
      <c r="B204" s="1" t="n">
        <v>45392</v>
      </c>
      <c r="C204" s="1" t="n">
        <v>46201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57806-2021</t>
        </is>
      </c>
      <c r="B205" s="1" t="n">
        <v>44484</v>
      </c>
      <c r="C205" s="1" t="n">
        <v>46201</v>
      </c>
      <c r="D205" t="inlineStr">
        <is>
          <t>ÖREBRO LÄN</t>
        </is>
      </c>
      <c r="E205" t="inlineStr">
        <is>
          <t>LAXÅ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15380-2025</t>
        </is>
      </c>
      <c r="B206" s="1" t="n">
        <v>45747</v>
      </c>
      <c r="C206" s="1" t="n">
        <v>46201</v>
      </c>
      <c r="D206" t="inlineStr">
        <is>
          <t>ÖREBRO LÄN</t>
        </is>
      </c>
      <c r="E206" t="inlineStr">
        <is>
          <t>LAXÅ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41601-2023</t>
        </is>
      </c>
      <c r="B207" s="1" t="n">
        <v>45175</v>
      </c>
      <c r="C207" s="1" t="n">
        <v>46201</v>
      </c>
      <c r="D207" t="inlineStr">
        <is>
          <t>ÖREBRO LÄN</t>
        </is>
      </c>
      <c r="E207" t="inlineStr">
        <is>
          <t>LAXÅ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6305-2024</t>
        </is>
      </c>
      <c r="B208" s="1" t="n">
        <v>45338</v>
      </c>
      <c r="C208" s="1" t="n">
        <v>46201</v>
      </c>
      <c r="D208" t="inlineStr">
        <is>
          <t>ÖREBRO LÄN</t>
        </is>
      </c>
      <c r="E208" t="inlineStr">
        <is>
          <t>LAXÅ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49974-2021</t>
        </is>
      </c>
      <c r="B209" s="1" t="n">
        <v>44456</v>
      </c>
      <c r="C209" s="1" t="n">
        <v>46201</v>
      </c>
      <c r="D209" t="inlineStr">
        <is>
          <t>ÖREBRO LÄN</t>
        </is>
      </c>
      <c r="E209" t="inlineStr">
        <is>
          <t>LAXÅ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46487-2021</t>
        </is>
      </c>
      <c r="B210" s="1" t="n">
        <v>44445</v>
      </c>
      <c r="C210" s="1" t="n">
        <v>46201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50005-2021</t>
        </is>
      </c>
      <c r="B211" s="1" t="n">
        <v>44456</v>
      </c>
      <c r="C211" s="1" t="n">
        <v>46201</v>
      </c>
      <c r="D211" t="inlineStr">
        <is>
          <t>ÖREBRO LÄN</t>
        </is>
      </c>
      <c r="E211" t="inlineStr">
        <is>
          <t>LAXÅ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33561-2025</t>
        </is>
      </c>
      <c r="B212" s="1" t="n">
        <v>45841</v>
      </c>
      <c r="C212" s="1" t="n">
        <v>46201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33572-2025</t>
        </is>
      </c>
      <c r="B213" s="1" t="n">
        <v>45841</v>
      </c>
      <c r="C213" s="1" t="n">
        <v>46201</v>
      </c>
      <c r="D213" t="inlineStr">
        <is>
          <t>ÖREBRO LÄN</t>
        </is>
      </c>
      <c r="E213" t="inlineStr">
        <is>
          <t>LAXÅ</t>
        </is>
      </c>
      <c r="F213" t="inlineStr">
        <is>
          <t>Övriga statliga verk och myndigheter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33597-2025</t>
        </is>
      </c>
      <c r="B214" s="1" t="n">
        <v>45841</v>
      </c>
      <c r="C214" s="1" t="n">
        <v>46201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19177-2023</t>
        </is>
      </c>
      <c r="B215" s="1" t="n">
        <v>45048</v>
      </c>
      <c r="C215" s="1" t="n">
        <v>46201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33581-2025</t>
        </is>
      </c>
      <c r="B216" s="1" t="n">
        <v>45841</v>
      </c>
      <c r="C216" s="1" t="n">
        <v>46201</v>
      </c>
      <c r="D216" t="inlineStr">
        <is>
          <t>ÖREBRO LÄN</t>
        </is>
      </c>
      <c r="E216" t="inlineStr">
        <is>
          <t>LAXÅ</t>
        </is>
      </c>
      <c r="F216" t="inlineStr">
        <is>
          <t>Övriga statliga verk och myndigheter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33591-2025</t>
        </is>
      </c>
      <c r="B217" s="1" t="n">
        <v>45841</v>
      </c>
      <c r="C217" s="1" t="n">
        <v>46201</v>
      </c>
      <c r="D217" t="inlineStr">
        <is>
          <t>ÖREBRO LÄN</t>
        </is>
      </c>
      <c r="E217" t="inlineStr">
        <is>
          <t>LAXÅ</t>
        </is>
      </c>
      <c r="F217" t="inlineStr">
        <is>
          <t>Övriga statliga verk och myndigheter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33576-2025</t>
        </is>
      </c>
      <c r="B218" s="1" t="n">
        <v>45841</v>
      </c>
      <c r="C218" s="1" t="n">
        <v>46201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33282-2025</t>
        </is>
      </c>
      <c r="B219" s="1" t="n">
        <v>45840</v>
      </c>
      <c r="C219" s="1" t="n">
        <v>46201</v>
      </c>
      <c r="D219" t="inlineStr">
        <is>
          <t>ÖREBRO LÄN</t>
        </is>
      </c>
      <c r="E219" t="inlineStr">
        <is>
          <t>LAXÅ</t>
        </is>
      </c>
      <c r="F219" t="inlineStr">
        <is>
          <t>Allmännings- och besparingsskogar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57367-2021</t>
        </is>
      </c>
      <c r="B220" s="1" t="n">
        <v>44483</v>
      </c>
      <c r="C220" s="1" t="n">
        <v>46201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22927-2024</t>
        </is>
      </c>
      <c r="B221" s="1" t="n">
        <v>45448</v>
      </c>
      <c r="C221" s="1" t="n">
        <v>46201</v>
      </c>
      <c r="D221" t="inlineStr">
        <is>
          <t>ÖREBRO LÄN</t>
        </is>
      </c>
      <c r="E221" t="inlineStr">
        <is>
          <t>LAXÅ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25512-2023</t>
        </is>
      </c>
      <c r="B222" s="1" t="n">
        <v>45089</v>
      </c>
      <c r="C222" s="1" t="n">
        <v>46201</v>
      </c>
      <c r="D222" t="inlineStr">
        <is>
          <t>ÖREBRO LÄN</t>
        </is>
      </c>
      <c r="E222" t="inlineStr">
        <is>
          <t>LAXÅ</t>
        </is>
      </c>
      <c r="F222" t="inlineStr">
        <is>
          <t>Övriga statliga verk och myndigheter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25515-2023</t>
        </is>
      </c>
      <c r="B223" s="1" t="n">
        <v>45089</v>
      </c>
      <c r="C223" s="1" t="n">
        <v>46201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15641-2024</t>
        </is>
      </c>
      <c r="B224" s="1" t="n">
        <v>45403</v>
      </c>
      <c r="C224" s="1" t="n">
        <v>46201</v>
      </c>
      <c r="D224" t="inlineStr">
        <is>
          <t>ÖREBRO LÄN</t>
        </is>
      </c>
      <c r="E224" t="inlineStr">
        <is>
          <t>LAXÅ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21522-2024</t>
        </is>
      </c>
      <c r="B225" s="1" t="n">
        <v>45441</v>
      </c>
      <c r="C225" s="1" t="n">
        <v>46201</v>
      </c>
      <c r="D225" t="inlineStr">
        <is>
          <t>ÖREBRO LÄN</t>
        </is>
      </c>
      <c r="E225" t="inlineStr">
        <is>
          <t>LAXÅ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21548-2024</t>
        </is>
      </c>
      <c r="B226" s="1" t="n">
        <v>45441</v>
      </c>
      <c r="C226" s="1" t="n">
        <v>46201</v>
      </c>
      <c r="D226" t="inlineStr">
        <is>
          <t>ÖREBRO LÄN</t>
        </is>
      </c>
      <c r="E226" t="inlineStr">
        <is>
          <t>LAXÅ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14462-2025</t>
        </is>
      </c>
      <c r="B227" s="1" t="n">
        <v>45741</v>
      </c>
      <c r="C227" s="1" t="n">
        <v>46201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54411-2022</t>
        </is>
      </c>
      <c r="B228" s="1" t="n">
        <v>44879</v>
      </c>
      <c r="C228" s="1" t="n">
        <v>46201</v>
      </c>
      <c r="D228" t="inlineStr">
        <is>
          <t>ÖREBRO LÄN</t>
        </is>
      </c>
      <c r="E228" t="inlineStr">
        <is>
          <t>LAXÅ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62405-2021</t>
        </is>
      </c>
      <c r="B229" s="1" t="n">
        <v>44503</v>
      </c>
      <c r="C229" s="1" t="n">
        <v>46201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54640-2023</t>
        </is>
      </c>
      <c r="B230" s="1" t="n">
        <v>45234</v>
      </c>
      <c r="C230" s="1" t="n">
        <v>46201</v>
      </c>
      <c r="D230" t="inlineStr">
        <is>
          <t>ÖREBRO LÄN</t>
        </is>
      </c>
      <c r="E230" t="inlineStr">
        <is>
          <t>LAXÅ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58052-2023</t>
        </is>
      </c>
      <c r="B231" s="1" t="n">
        <v>45245</v>
      </c>
      <c r="C231" s="1" t="n">
        <v>46201</v>
      </c>
      <c r="D231" t="inlineStr">
        <is>
          <t>ÖREBRO LÄN</t>
        </is>
      </c>
      <c r="E231" t="inlineStr">
        <is>
          <t>LAXÅ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36544-2024</t>
        </is>
      </c>
      <c r="B232" s="1" t="n">
        <v>45537</v>
      </c>
      <c r="C232" s="1" t="n">
        <v>46201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36553-2024</t>
        </is>
      </c>
      <c r="B233" s="1" t="n">
        <v>45537</v>
      </c>
      <c r="C233" s="1" t="n">
        <v>46201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36672-2025</t>
        </is>
      </c>
      <c r="B234" s="1" t="n">
        <v>45873</v>
      </c>
      <c r="C234" s="1" t="n">
        <v>46201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19809-2025</t>
        </is>
      </c>
      <c r="B235" s="1" t="n">
        <v>45771</v>
      </c>
      <c r="C235" s="1" t="n">
        <v>46201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19813-2025</t>
        </is>
      </c>
      <c r="B236" s="1" t="n">
        <v>45771</v>
      </c>
      <c r="C236" s="1" t="n">
        <v>46201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36670-2025</t>
        </is>
      </c>
      <c r="B237" s="1" t="n">
        <v>45873</v>
      </c>
      <c r="C237" s="1" t="n">
        <v>46201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57548-2023</t>
        </is>
      </c>
      <c r="B238" s="1" t="n">
        <v>45240</v>
      </c>
      <c r="C238" s="1" t="n">
        <v>46201</v>
      </c>
      <c r="D238" t="inlineStr">
        <is>
          <t>ÖREBRO LÄN</t>
        </is>
      </c>
      <c r="E238" t="inlineStr">
        <is>
          <t>LAXÅ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37620-2025</t>
        </is>
      </c>
      <c r="B239" s="1" t="n">
        <v>45880</v>
      </c>
      <c r="C239" s="1" t="n">
        <v>46201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6905-2025</t>
        </is>
      </c>
      <c r="B240" s="1" t="n">
        <v>45701</v>
      </c>
      <c r="C240" s="1" t="n">
        <v>46201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21474-2025</t>
        </is>
      </c>
      <c r="B241" s="1" t="n">
        <v>45782</v>
      </c>
      <c r="C241" s="1" t="n">
        <v>46201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6902-2025</t>
        </is>
      </c>
      <c r="B242" s="1" t="n">
        <v>45701</v>
      </c>
      <c r="C242" s="1" t="n">
        <v>46201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28566-2025</t>
        </is>
      </c>
      <c r="B243" s="1" t="n">
        <v>45819</v>
      </c>
      <c r="C243" s="1" t="n">
        <v>46201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7132-2024</t>
        </is>
      </c>
      <c r="B244" s="1" t="n">
        <v>45344</v>
      </c>
      <c r="C244" s="1" t="n">
        <v>46201</v>
      </c>
      <c r="D244" t="inlineStr">
        <is>
          <t>ÖREBRO LÄN</t>
        </is>
      </c>
      <c r="E244" t="inlineStr">
        <is>
          <t>LAXÅ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21212-2023</t>
        </is>
      </c>
      <c r="B245" s="1" t="n">
        <v>45062</v>
      </c>
      <c r="C245" s="1" t="n">
        <v>46201</v>
      </c>
      <c r="D245" t="inlineStr">
        <is>
          <t>ÖREBRO LÄN</t>
        </is>
      </c>
      <c r="E245" t="inlineStr">
        <is>
          <t>LAXÅ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12962-2025</t>
        </is>
      </c>
      <c r="B246" s="1" t="n">
        <v>45734</v>
      </c>
      <c r="C246" s="1" t="n">
        <v>46201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53538-2023</t>
        </is>
      </c>
      <c r="B247" s="1" t="n">
        <v>45230</v>
      </c>
      <c r="C247" s="1" t="n">
        <v>46201</v>
      </c>
      <c r="D247" t="inlineStr">
        <is>
          <t>ÖREBRO LÄN</t>
        </is>
      </c>
      <c r="E247" t="inlineStr">
        <is>
          <t>LAXÅ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13104-2025</t>
        </is>
      </c>
      <c r="B248" s="1" t="n">
        <v>45734</v>
      </c>
      <c r="C248" s="1" t="n">
        <v>46201</v>
      </c>
      <c r="D248" t="inlineStr">
        <is>
          <t>ÖREBRO LÄN</t>
        </is>
      </c>
      <c r="E248" t="inlineStr">
        <is>
          <t>LAXÅ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3443-2023</t>
        </is>
      </c>
      <c r="B249" s="1" t="n">
        <v>44949</v>
      </c>
      <c r="C249" s="1" t="n">
        <v>46201</v>
      </c>
      <c r="D249" t="inlineStr">
        <is>
          <t>ÖREBRO LÄN</t>
        </is>
      </c>
      <c r="E249" t="inlineStr">
        <is>
          <t>LAXÅ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34567-2024</t>
        </is>
      </c>
      <c r="B250" s="1" t="n">
        <v>45525</v>
      </c>
      <c r="C250" s="1" t="n">
        <v>46201</v>
      </c>
      <c r="D250" t="inlineStr">
        <is>
          <t>ÖREBRO LÄN</t>
        </is>
      </c>
      <c r="E250" t="inlineStr">
        <is>
          <t>LAXÅ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6299-2024</t>
        </is>
      </c>
      <c r="B251" s="1" t="n">
        <v>45338</v>
      </c>
      <c r="C251" s="1" t="n">
        <v>46201</v>
      </c>
      <c r="D251" t="inlineStr">
        <is>
          <t>ÖREBRO LÄN</t>
        </is>
      </c>
      <c r="E251" t="inlineStr">
        <is>
          <t>LAXÅ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60392-2023</t>
        </is>
      </c>
      <c r="B252" s="1" t="n">
        <v>45259</v>
      </c>
      <c r="C252" s="1" t="n">
        <v>46201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28415-2025</t>
        </is>
      </c>
      <c r="B253" s="1" t="n">
        <v>45819</v>
      </c>
      <c r="C253" s="1" t="n">
        <v>46201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40668-2025</t>
        </is>
      </c>
      <c r="B254" s="1" t="n">
        <v>45896</v>
      </c>
      <c r="C254" s="1" t="n">
        <v>46201</v>
      </c>
      <c r="D254" t="inlineStr">
        <is>
          <t>ÖREBRO LÄN</t>
        </is>
      </c>
      <c r="E254" t="inlineStr">
        <is>
          <t>LAXÅ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51462-2025</t>
        </is>
      </c>
      <c r="B255" s="1" t="n">
        <v>45950</v>
      </c>
      <c r="C255" s="1" t="n">
        <v>46201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61046-2023</t>
        </is>
      </c>
      <c r="B256" s="1" t="n">
        <v>45261</v>
      </c>
      <c r="C256" s="1" t="n">
        <v>46201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42551-2025</t>
        </is>
      </c>
      <c r="B257" s="1" t="n">
        <v>45905</v>
      </c>
      <c r="C257" s="1" t="n">
        <v>46201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42549-2025</t>
        </is>
      </c>
      <c r="B258" s="1" t="n">
        <v>45905</v>
      </c>
      <c r="C258" s="1" t="n">
        <v>46201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42552-2025</t>
        </is>
      </c>
      <c r="B259" s="1" t="n">
        <v>45905</v>
      </c>
      <c r="C259" s="1" t="n">
        <v>46201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22564-2025</t>
        </is>
      </c>
      <c r="B260" s="1" t="n">
        <v>45789</v>
      </c>
      <c r="C260" s="1" t="n">
        <v>46201</v>
      </c>
      <c r="D260" t="inlineStr">
        <is>
          <t>ÖREBRO LÄN</t>
        </is>
      </c>
      <c r="E260" t="inlineStr">
        <is>
          <t>LAXÅ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12065-2024</t>
        </is>
      </c>
      <c r="B261" s="1" t="n">
        <v>45377</v>
      </c>
      <c r="C261" s="1" t="n">
        <v>46201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10496-2024</t>
        </is>
      </c>
      <c r="B262" s="1" t="n">
        <v>45366</v>
      </c>
      <c r="C262" s="1" t="n">
        <v>46201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9312-2024</t>
        </is>
      </c>
      <c r="B263" s="1" t="n">
        <v>45358</v>
      </c>
      <c r="C263" s="1" t="n">
        <v>46201</v>
      </c>
      <c r="D263" t="inlineStr">
        <is>
          <t>ÖREBRO LÄN</t>
        </is>
      </c>
      <c r="E263" t="inlineStr">
        <is>
          <t>LAXÅ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53092-2025</t>
        </is>
      </c>
      <c r="B264" s="1" t="n">
        <v>45958</v>
      </c>
      <c r="C264" s="1" t="n">
        <v>46201</v>
      </c>
      <c r="D264" t="inlineStr">
        <is>
          <t>ÖREBRO LÄN</t>
        </is>
      </c>
      <c r="E264" t="inlineStr">
        <is>
          <t>LAXÅ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23234-2025</t>
        </is>
      </c>
      <c r="B265" s="1" t="n">
        <v>45791</v>
      </c>
      <c r="C265" s="1" t="n">
        <v>46201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44313-2025</t>
        </is>
      </c>
      <c r="B266" s="1" t="n">
        <v>45915</v>
      </c>
      <c r="C266" s="1" t="n">
        <v>46201</v>
      </c>
      <c r="D266" t="inlineStr">
        <is>
          <t>ÖREBRO LÄN</t>
        </is>
      </c>
      <c r="E266" t="inlineStr">
        <is>
          <t>LAXÅ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13102-2025</t>
        </is>
      </c>
      <c r="B267" s="1" t="n">
        <v>45734</v>
      </c>
      <c r="C267" s="1" t="n">
        <v>46201</v>
      </c>
      <c r="D267" t="inlineStr">
        <is>
          <t>ÖREBRO LÄN</t>
        </is>
      </c>
      <c r="E267" t="inlineStr">
        <is>
          <t>LAXÅ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59892-2021</t>
        </is>
      </c>
      <c r="B268" s="1" t="n">
        <v>44494</v>
      </c>
      <c r="C268" s="1" t="n">
        <v>46201</v>
      </c>
      <c r="D268" t="inlineStr">
        <is>
          <t>ÖREBRO LÄN</t>
        </is>
      </c>
      <c r="E268" t="inlineStr">
        <is>
          <t>LAXÅ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6842-2022</t>
        </is>
      </c>
      <c r="B269" s="1" t="n">
        <v>44602</v>
      </c>
      <c r="C269" s="1" t="n">
        <v>46201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45424-2025</t>
        </is>
      </c>
      <c r="B270" s="1" t="n">
        <v>45920</v>
      </c>
      <c r="C270" s="1" t="n">
        <v>46201</v>
      </c>
      <c r="D270" t="inlineStr">
        <is>
          <t>ÖREBRO LÄN</t>
        </is>
      </c>
      <c r="E270" t="inlineStr">
        <is>
          <t>LAXÅ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54901-2025</t>
        </is>
      </c>
      <c r="B271" s="1" t="n">
        <v>45967</v>
      </c>
      <c r="C271" s="1" t="n">
        <v>46201</v>
      </c>
      <c r="D271" t="inlineStr">
        <is>
          <t>ÖREBRO LÄN</t>
        </is>
      </c>
      <c r="E271" t="inlineStr">
        <is>
          <t>LAXÅ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55117-2025</t>
        </is>
      </c>
      <c r="B272" s="1" t="n">
        <v>45968</v>
      </c>
      <c r="C272" s="1" t="n">
        <v>46201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55202-2025</t>
        </is>
      </c>
      <c r="B273" s="1" t="n">
        <v>45968</v>
      </c>
      <c r="C273" s="1" t="n">
        <v>46201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56668-2025</t>
        </is>
      </c>
      <c r="B274" s="1" t="n">
        <v>45975</v>
      </c>
      <c r="C274" s="1" t="n">
        <v>46201</v>
      </c>
      <c r="D274" t="inlineStr">
        <is>
          <t>ÖREBRO LÄN</t>
        </is>
      </c>
      <c r="E274" t="inlineStr">
        <is>
          <t>LAXÅ</t>
        </is>
      </c>
      <c r="G274" t="n">
        <v>18.1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18845-2023</t>
        </is>
      </c>
      <c r="B275" s="1" t="n">
        <v>45042</v>
      </c>
      <c r="C275" s="1" t="n">
        <v>46201</v>
      </c>
      <c r="D275" t="inlineStr">
        <is>
          <t>ÖREBRO LÄN</t>
        </is>
      </c>
      <c r="E275" t="inlineStr">
        <is>
          <t>LAXÅ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57425-2025</t>
        </is>
      </c>
      <c r="B276" s="1" t="n">
        <v>45980</v>
      </c>
      <c r="C276" s="1" t="n">
        <v>46201</v>
      </c>
      <c r="D276" t="inlineStr">
        <is>
          <t>ÖREBRO LÄN</t>
        </is>
      </c>
      <c r="E276" t="inlineStr">
        <is>
          <t>LAXÅ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58690-2025</t>
        </is>
      </c>
      <c r="B277" s="1" t="n">
        <v>45986</v>
      </c>
      <c r="C277" s="1" t="n">
        <v>46201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59770-2025</t>
        </is>
      </c>
      <c r="B278" s="1" t="n">
        <v>45992</v>
      </c>
      <c r="C278" s="1" t="n">
        <v>46201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60685-2025</t>
        </is>
      </c>
      <c r="B279" s="1" t="n">
        <v>45996</v>
      </c>
      <c r="C279" s="1" t="n">
        <v>46201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62029-2025</t>
        </is>
      </c>
      <c r="B280" s="1" t="n">
        <v>46003</v>
      </c>
      <c r="C280" s="1" t="n">
        <v>46201</v>
      </c>
      <c r="D280" t="inlineStr">
        <is>
          <t>ÖREBRO LÄN</t>
        </is>
      </c>
      <c r="E280" t="inlineStr">
        <is>
          <t>LAXÅ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598-2026</t>
        </is>
      </c>
      <c r="B281" s="1" t="n">
        <v>46029</v>
      </c>
      <c r="C281" s="1" t="n">
        <v>46201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1944-2026</t>
        </is>
      </c>
      <c r="B282" s="1" t="n">
        <v>46035</v>
      </c>
      <c r="C282" s="1" t="n">
        <v>46201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1772-2026</t>
        </is>
      </c>
      <c r="B283" s="1" t="n">
        <v>46034</v>
      </c>
      <c r="C283" s="1" t="n">
        <v>46201</v>
      </c>
      <c r="D283" t="inlineStr">
        <is>
          <t>ÖREBRO LÄN</t>
        </is>
      </c>
      <c r="E283" t="inlineStr">
        <is>
          <t>LAXÅ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1943-2026</t>
        </is>
      </c>
      <c r="B284" s="1" t="n">
        <v>46035</v>
      </c>
      <c r="C284" s="1" t="n">
        <v>46201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2127-2026</t>
        </is>
      </c>
      <c r="B285" s="1" t="n">
        <v>46036</v>
      </c>
      <c r="C285" s="1" t="n">
        <v>46201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2332-2026</t>
        </is>
      </c>
      <c r="B286" s="1" t="n">
        <v>46036</v>
      </c>
      <c r="C286" s="1" t="n">
        <v>46201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2102-2026</t>
        </is>
      </c>
      <c r="B287" s="1" t="n">
        <v>46036</v>
      </c>
      <c r="C287" s="1" t="n">
        <v>46201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4417-2026</t>
        </is>
      </c>
      <c r="B288" s="1" t="n">
        <v>46045</v>
      </c>
      <c r="C288" s="1" t="n">
        <v>46201</v>
      </c>
      <c r="D288" t="inlineStr">
        <is>
          <t>ÖREBRO LÄN</t>
        </is>
      </c>
      <c r="E288" t="inlineStr">
        <is>
          <t>LAXÅ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5414-2026</t>
        </is>
      </c>
      <c r="B289" s="1" t="n">
        <v>46048</v>
      </c>
      <c r="C289" s="1" t="n">
        <v>46201</v>
      </c>
      <c r="D289" t="inlineStr">
        <is>
          <t>ÖREBRO LÄN</t>
        </is>
      </c>
      <c r="E289" t="inlineStr">
        <is>
          <t>LAXÅ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5421-2026</t>
        </is>
      </c>
      <c r="B290" s="1" t="n">
        <v>46048</v>
      </c>
      <c r="C290" s="1" t="n">
        <v>46201</v>
      </c>
      <c r="D290" t="inlineStr">
        <is>
          <t>ÖREBRO LÄN</t>
        </is>
      </c>
      <c r="E290" t="inlineStr">
        <is>
          <t>LAXÅ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5649-2026</t>
        </is>
      </c>
      <c r="B291" s="1" t="n">
        <v>46051</v>
      </c>
      <c r="C291" s="1" t="n">
        <v>46201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5650-2026</t>
        </is>
      </c>
      <c r="B292" s="1" t="n">
        <v>46051</v>
      </c>
      <c r="C292" s="1" t="n">
        <v>46201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517-2026</t>
        </is>
      </c>
      <c r="B293" s="1" t="n">
        <v>46029</v>
      </c>
      <c r="C293" s="1" t="n">
        <v>46201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7247-2026</t>
        </is>
      </c>
      <c r="B294" s="1" t="n">
        <v>46058</v>
      </c>
      <c r="C294" s="1" t="n">
        <v>46201</v>
      </c>
      <c r="D294" t="inlineStr">
        <is>
          <t>ÖREBRO LÄN</t>
        </is>
      </c>
      <c r="E294" t="inlineStr">
        <is>
          <t>LAXÅ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9108-2026</t>
        </is>
      </c>
      <c r="B295" s="1" t="n">
        <v>46069</v>
      </c>
      <c r="C295" s="1" t="n">
        <v>46201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9110-2026</t>
        </is>
      </c>
      <c r="B296" s="1" t="n">
        <v>46069</v>
      </c>
      <c r="C296" s="1" t="n">
        <v>46201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9107-2026</t>
        </is>
      </c>
      <c r="B297" s="1" t="n">
        <v>46069</v>
      </c>
      <c r="C297" s="1" t="n">
        <v>46201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9112-2026</t>
        </is>
      </c>
      <c r="B298" s="1" t="n">
        <v>46069</v>
      </c>
      <c r="C298" s="1" t="n">
        <v>46201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9986-2026</t>
        </is>
      </c>
      <c r="B299" s="1" t="n">
        <v>46073</v>
      </c>
      <c r="C299" s="1" t="n">
        <v>46201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9987-2026</t>
        </is>
      </c>
      <c r="B300" s="1" t="n">
        <v>46073</v>
      </c>
      <c r="C300" s="1" t="n">
        <v>46201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11653-2026</t>
        </is>
      </c>
      <c r="B301" s="1" t="n">
        <v>46084</v>
      </c>
      <c r="C301" s="1" t="n">
        <v>46201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11851-2026</t>
        </is>
      </c>
      <c r="B302" s="1" t="n">
        <v>46085</v>
      </c>
      <c r="C302" s="1" t="n">
        <v>46201</v>
      </c>
      <c r="D302" t="inlineStr">
        <is>
          <t>ÖREBRO LÄN</t>
        </is>
      </c>
      <c r="E302" t="inlineStr">
        <is>
          <t>LAXÅ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14876-2026</t>
        </is>
      </c>
      <c r="B303" s="1" t="n">
        <v>46104</v>
      </c>
      <c r="C303" s="1" t="n">
        <v>46201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14877-2026</t>
        </is>
      </c>
      <c r="B304" s="1" t="n">
        <v>46104</v>
      </c>
      <c r="C304" s="1" t="n">
        <v>46201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15317-2026</t>
        </is>
      </c>
      <c r="B305" s="1" t="n">
        <v>46105</v>
      </c>
      <c r="C305" s="1" t="n">
        <v>46201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15314-2026</t>
        </is>
      </c>
      <c r="B306" s="1" t="n">
        <v>46105</v>
      </c>
      <c r="C306" s="1" t="n">
        <v>46201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15433-2026</t>
        </is>
      </c>
      <c r="B307" s="1" t="n">
        <v>46106</v>
      </c>
      <c r="C307" s="1" t="n">
        <v>46201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15341-2026</t>
        </is>
      </c>
      <c r="B308" s="1" t="n">
        <v>46105</v>
      </c>
      <c r="C308" s="1" t="n">
        <v>46201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16483-2026</t>
        </is>
      </c>
      <c r="B309" s="1" t="n">
        <v>46112</v>
      </c>
      <c r="C309" s="1" t="n">
        <v>46201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23068-2026</t>
        </is>
      </c>
      <c r="B310" s="1" t="n">
        <v>46161</v>
      </c>
      <c r="C310" s="1" t="n">
        <v>46201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23072-2026</t>
        </is>
      </c>
      <c r="B311" s="1" t="n">
        <v>46161</v>
      </c>
      <c r="C311" s="1" t="n">
        <v>46201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23074-2026</t>
        </is>
      </c>
      <c r="B312" s="1" t="n">
        <v>46161</v>
      </c>
      <c r="C312" s="1" t="n">
        <v>46201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23076-2026</t>
        </is>
      </c>
      <c r="B313" s="1" t="n">
        <v>46161</v>
      </c>
      <c r="C313" s="1" t="n">
        <v>46201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17405-2026</t>
        </is>
      </c>
      <c r="B314" s="1" t="n">
        <v>46120</v>
      </c>
      <c r="C314" s="1" t="n">
        <v>46201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17407-2026</t>
        </is>
      </c>
      <c r="B315" s="1" t="n">
        <v>46120</v>
      </c>
      <c r="C315" s="1" t="n">
        <v>46201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23073-2026</t>
        </is>
      </c>
      <c r="B316" s="1" t="n">
        <v>46161</v>
      </c>
      <c r="C316" s="1" t="n">
        <v>46201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23075-2026</t>
        </is>
      </c>
      <c r="B317" s="1" t="n">
        <v>46161</v>
      </c>
      <c r="C317" s="1" t="n">
        <v>46201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23071-2026</t>
        </is>
      </c>
      <c r="B318" s="1" t="n">
        <v>46161</v>
      </c>
      <c r="C318" s="1" t="n">
        <v>46201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24741-2026</t>
        </is>
      </c>
      <c r="B319" s="1" t="n">
        <v>46171</v>
      </c>
      <c r="C319" s="1" t="n">
        <v>46201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55484-2024</t>
        </is>
      </c>
      <c r="B320" s="1" t="n">
        <v>45622</v>
      </c>
      <c r="C320" s="1" t="n">
        <v>46201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28396-2025</t>
        </is>
      </c>
      <c r="B321" s="1" t="n">
        <v>45819</v>
      </c>
      <c r="C321" s="1" t="n">
        <v>46201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68356-2021</t>
        </is>
      </c>
      <c r="B322" s="1" t="n">
        <v>44528</v>
      </c>
      <c r="C322" s="1" t="n">
        <v>46201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25926-2026</t>
        </is>
      </c>
      <c r="B323" s="1" t="n">
        <v>46178</v>
      </c>
      <c r="C323" s="1" t="n">
        <v>46201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35850-2024</t>
        </is>
      </c>
      <c r="B324" s="1" t="n">
        <v>45532</v>
      </c>
      <c r="C324" s="1" t="n">
        <v>46201</v>
      </c>
      <c r="D324" t="inlineStr">
        <is>
          <t>ÖREBRO LÄN</t>
        </is>
      </c>
      <c r="E324" t="inlineStr">
        <is>
          <t>LAXÅ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25920-2026</t>
        </is>
      </c>
      <c r="B325" s="1" t="n">
        <v>46178</v>
      </c>
      <c r="C325" s="1" t="n">
        <v>46201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38722-2025</t>
        </is>
      </c>
      <c r="B326" s="1" t="n">
        <v>45886</v>
      </c>
      <c r="C326" s="1" t="n">
        <v>46201</v>
      </c>
      <c r="D326" t="inlineStr">
        <is>
          <t>ÖREBRO LÄN</t>
        </is>
      </c>
      <c r="E326" t="inlineStr">
        <is>
          <t>LAXÅ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25921-2026</t>
        </is>
      </c>
      <c r="B327" s="1" t="n">
        <v>46178</v>
      </c>
      <c r="C327" s="1" t="n">
        <v>46201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25922-2026</t>
        </is>
      </c>
      <c r="B328" s="1" t="n">
        <v>46178</v>
      </c>
      <c r="C328" s="1" t="n">
        <v>46201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40151-2024</t>
        </is>
      </c>
      <c r="B329" s="1" t="n">
        <v>45554</v>
      </c>
      <c r="C329" s="1" t="n">
        <v>46201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22381-2025</t>
        </is>
      </c>
      <c r="B330" s="1" t="n">
        <v>45786</v>
      </c>
      <c r="C330" s="1" t="n">
        <v>46201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33695-2023</t>
        </is>
      </c>
      <c r="B331" s="1" t="n">
        <v>45132</v>
      </c>
      <c r="C331" s="1" t="n">
        <v>46201</v>
      </c>
      <c r="D331" t="inlineStr">
        <is>
          <t>ÖREBRO LÄN</t>
        </is>
      </c>
      <c r="E331" t="inlineStr">
        <is>
          <t>LAXÅ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67054-2021</t>
        </is>
      </c>
      <c r="B332" s="1" t="n">
        <v>44522</v>
      </c>
      <c r="C332" s="1" t="n">
        <v>46201</v>
      </c>
      <c r="D332" t="inlineStr">
        <is>
          <t>ÖREBRO LÄN</t>
        </is>
      </c>
      <c r="E332" t="inlineStr">
        <is>
          <t>LAXÅ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26879-2026</t>
        </is>
      </c>
      <c r="B333" s="1" t="n">
        <v>46185</v>
      </c>
      <c r="C333" s="1" t="n">
        <v>46201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20943-2026</t>
        </is>
      </c>
      <c r="B334" s="1" t="n">
        <v>46142</v>
      </c>
      <c r="C334" s="1" t="n">
        <v>46201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26880-2026</t>
        </is>
      </c>
      <c r="B335" s="1" t="n">
        <v>46185</v>
      </c>
      <c r="C335" s="1" t="n">
        <v>46201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26883-2026</t>
        </is>
      </c>
      <c r="B336" s="1" t="n">
        <v>46185</v>
      </c>
      <c r="C336" s="1" t="n">
        <v>46201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26877-2026</t>
        </is>
      </c>
      <c r="B337" s="1" t="n">
        <v>46185</v>
      </c>
      <c r="C337" s="1" t="n">
        <v>46201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26878-2026</t>
        </is>
      </c>
      <c r="B338" s="1" t="n">
        <v>46185</v>
      </c>
      <c r="C338" s="1" t="n">
        <v>46201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28130-2026</t>
        </is>
      </c>
      <c r="B339" s="1" t="n">
        <v>46195</v>
      </c>
      <c r="C339" s="1" t="n">
        <v>46201</v>
      </c>
      <c r="D339" t="inlineStr">
        <is>
          <t>ÖREBRO LÄN</t>
        </is>
      </c>
      <c r="E339" t="inlineStr">
        <is>
          <t>LAXÅ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22063-2026</t>
        </is>
      </c>
      <c r="B340" s="1" t="n">
        <v>46153</v>
      </c>
      <c r="C340" s="1" t="n">
        <v>46201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22501-2026</t>
        </is>
      </c>
      <c r="B341" s="1" t="n">
        <v>46155</v>
      </c>
      <c r="C341" s="1" t="n">
        <v>46201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22493-2026</t>
        </is>
      </c>
      <c r="B342" s="1" t="n">
        <v>46155</v>
      </c>
      <c r="C342" s="1" t="n">
        <v>46201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6158-2025</t>
        </is>
      </c>
      <c r="B343" s="1" t="n">
        <v>45698</v>
      </c>
      <c r="C343" s="1" t="n">
        <v>46201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542-2026</t>
        </is>
      </c>
      <c r="B344" s="1" t="n">
        <v>46029</v>
      </c>
      <c r="C344" s="1" t="n">
        <v>46201</v>
      </c>
      <c r="D344" t="inlineStr">
        <is>
          <t>ÖREBRO LÄN</t>
        </is>
      </c>
      <c r="E344" t="inlineStr">
        <is>
          <t>LAXÅ</t>
        </is>
      </c>
      <c r="F344" t="inlineStr">
        <is>
          <t>Kyrkan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28822-2026</t>
        </is>
      </c>
      <c r="B345" s="1" t="n">
        <v>46198</v>
      </c>
      <c r="C345" s="1" t="n">
        <v>46201</v>
      </c>
      <c r="D345" t="inlineStr">
        <is>
          <t>ÖREBRO LÄN</t>
        </is>
      </c>
      <c r="E345" t="inlineStr">
        <is>
          <t>LAXÅ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28821-2026</t>
        </is>
      </c>
      <c r="B346" s="1" t="n">
        <v>46198</v>
      </c>
      <c r="C346" s="1" t="n">
        <v>46201</v>
      </c>
      <c r="D346" t="inlineStr">
        <is>
          <t>ÖREBRO LÄN</t>
        </is>
      </c>
      <c r="E346" t="inlineStr">
        <is>
          <t>LAXÅ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>
      <c r="A347" t="inlineStr">
        <is>
          <t>A 28827-2026</t>
        </is>
      </c>
      <c r="B347" s="1" t="n">
        <v>46198</v>
      </c>
      <c r="C347" s="1" t="n">
        <v>46201</v>
      </c>
      <c r="D347" t="inlineStr">
        <is>
          <t>ÖREBRO LÄN</t>
        </is>
      </c>
      <c r="E347" t="inlineStr">
        <is>
          <t>LAXÅ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2026-06-28T00:53:46Z</dcterms:created>
  <dcterms:modified xmlns:dcterms="http://purl.org/dc/terms/" xmlns:xsi="http://www.w3.org/2001/XMLSchema-instance" xsi:type="dcterms:W3CDTF">2026-06-28T00:53:46Z</dcterms:modified>
</cp:coreProperties>
</file>