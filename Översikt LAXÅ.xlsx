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45788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45788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45788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45788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45788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45788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45788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45788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45788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45788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45788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45788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45788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45788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45788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48244-2019</t>
        </is>
      </c>
      <c r="B17" s="1" t="n">
        <v>43726</v>
      </c>
      <c r="C17" s="1" t="n">
        <v>45788</v>
      </c>
      <c r="D17" t="inlineStr">
        <is>
          <t>ÖREBRO LÄN</t>
        </is>
      </c>
      <c r="E17" t="inlineStr">
        <is>
          <t>LAXÅ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HYPERLINK("https://klasma.github.io/Logging_1860/artfynd/A 48244-2019 artfynd.xlsx", "A 48244-2019")</f>
        <v/>
      </c>
      <c r="T17">
        <f>HYPERLINK("https://klasma.github.io/Logging_1860/kartor/A 48244-2019 karta.png", "A 48244-2019")</f>
        <v/>
      </c>
      <c r="V17">
        <f>HYPERLINK("https://klasma.github.io/Logging_1860/klagomål/A 48244-2019 FSC-klagomål.docx", "A 48244-2019")</f>
        <v/>
      </c>
      <c r="W17">
        <f>HYPERLINK("https://klasma.github.io/Logging_1860/klagomålsmail/A 48244-2019 FSC-klagomål mail.docx", "A 48244-2019")</f>
        <v/>
      </c>
      <c r="X17">
        <f>HYPERLINK("https://klasma.github.io/Logging_1860/tillsyn/A 48244-2019 tillsynsbegäran.docx", "A 48244-2019")</f>
        <v/>
      </c>
      <c r="Y17">
        <f>HYPERLINK("https://klasma.github.io/Logging_1860/tillsynsmail/A 48244-2019 tillsynsbegäran mail.docx", "A 48244-2019")</f>
        <v/>
      </c>
    </row>
    <row r="18" ht="15" customHeight="1">
      <c r="A18" t="inlineStr">
        <is>
          <t>A 21746-2020</t>
        </is>
      </c>
      <c r="B18" s="1" t="n">
        <v>43957</v>
      </c>
      <c r="C18" s="1" t="n">
        <v>45788</v>
      </c>
      <c r="D18" t="inlineStr">
        <is>
          <t>ÖREBRO LÄN</t>
        </is>
      </c>
      <c r="E18" t="inlineStr">
        <is>
          <t>LAXÅ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HYPERLINK("https://klasma.github.io/Logging_1860/artfynd/A 21746-2020 artfynd.xlsx", "A 21746-2020")</f>
        <v/>
      </c>
      <c r="T18">
        <f>HYPERLINK("https://klasma.github.io/Logging_1860/kartor/A 21746-2020 karta.png", "A 21746-2020")</f>
        <v/>
      </c>
      <c r="V18">
        <f>HYPERLINK("https://klasma.github.io/Logging_1860/klagomål/A 21746-2020 FSC-klagomål.docx", "A 21746-2020")</f>
        <v/>
      </c>
      <c r="W18">
        <f>HYPERLINK("https://klasma.github.io/Logging_1860/klagomålsmail/A 21746-2020 FSC-klagomål mail.docx", "A 21746-2020")</f>
        <v/>
      </c>
      <c r="X18">
        <f>HYPERLINK("https://klasma.github.io/Logging_1860/tillsyn/A 21746-2020 tillsynsbegäran.docx", "A 21746-2020")</f>
        <v/>
      </c>
      <c r="Y18">
        <f>HYPERLINK("https://klasma.github.io/Logging_1860/tillsynsmail/A 21746-2020 tillsynsbegäran mail.docx", "A 21746-2020")</f>
        <v/>
      </c>
    </row>
    <row r="19" ht="15" customHeight="1">
      <c r="A19" t="inlineStr">
        <is>
          <t>A 32030-2020</t>
        </is>
      </c>
      <c r="B19" s="1" t="n">
        <v>44015</v>
      </c>
      <c r="C19" s="1" t="n">
        <v>45788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32030-2020 artfynd.xlsx", "A 32030-2020")</f>
        <v/>
      </c>
      <c r="T19">
        <f>HYPERLINK("https://klasma.github.io/Logging_1860/kartor/A 32030-2020 karta.png", "A 32030-2020")</f>
        <v/>
      </c>
      <c r="V19">
        <f>HYPERLINK("https://klasma.github.io/Logging_1860/klagomål/A 32030-2020 FSC-klagomål.docx", "A 32030-2020")</f>
        <v/>
      </c>
      <c r="W19">
        <f>HYPERLINK("https://klasma.github.io/Logging_1860/klagomålsmail/A 32030-2020 FSC-klagomål mail.docx", "A 32030-2020")</f>
        <v/>
      </c>
      <c r="X19">
        <f>HYPERLINK("https://klasma.github.io/Logging_1860/tillsyn/A 32030-2020 tillsynsbegäran.docx", "A 32030-2020")</f>
        <v/>
      </c>
      <c r="Y19">
        <f>HYPERLINK("https://klasma.github.io/Logging_1860/tillsynsmail/A 32030-2020 tillsynsbegäran mail.docx", "A 32030-2020")</f>
        <v/>
      </c>
    </row>
    <row r="20" ht="15" customHeight="1">
      <c r="A20" t="inlineStr">
        <is>
          <t>A 57376-2021</t>
        </is>
      </c>
      <c r="B20" s="1" t="n">
        <v>44483</v>
      </c>
      <c r="C20" s="1" t="n">
        <v>45788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HYPERLINK("https://klasma.github.io/Logging_1860/artfynd/A 57376-2021 artfynd.xlsx", "A 57376-2021")</f>
        <v/>
      </c>
      <c r="T20">
        <f>HYPERLINK("https://klasma.github.io/Logging_1860/kartor/A 57376-2021 karta.png", "A 57376-2021")</f>
        <v/>
      </c>
      <c r="V20">
        <f>HYPERLINK("https://klasma.github.io/Logging_1860/klagomål/A 57376-2021 FSC-klagomål.docx", "A 57376-2021")</f>
        <v/>
      </c>
      <c r="W20">
        <f>HYPERLINK("https://klasma.github.io/Logging_1860/klagomålsmail/A 57376-2021 FSC-klagomål mail.docx", "A 57376-2021")</f>
        <v/>
      </c>
      <c r="X20">
        <f>HYPERLINK("https://klasma.github.io/Logging_1860/tillsyn/A 57376-2021 tillsynsbegäran.docx", "A 57376-2021")</f>
        <v/>
      </c>
      <c r="Y20">
        <f>HYPERLINK("https://klasma.github.io/Logging_1860/tillsynsmail/A 57376-2021 tillsynsbegäran mail.docx", "A 57376-2021")</f>
        <v/>
      </c>
    </row>
    <row r="21" ht="15" customHeight="1">
      <c r="A21" t="inlineStr">
        <is>
          <t>A 28144-2022</t>
        </is>
      </c>
      <c r="B21" s="1" t="n">
        <v>44746</v>
      </c>
      <c r="C21" s="1" t="n">
        <v>45788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8.1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HYPERLINK("https://klasma.github.io/Logging_1860/artfynd/A 28144-2022 artfynd.xlsx", "A 28144-2022")</f>
        <v/>
      </c>
      <c r="T21">
        <f>HYPERLINK("https://klasma.github.io/Logging_1860/kartor/A 28144-2022 karta.png", "A 28144-2022")</f>
        <v/>
      </c>
      <c r="V21">
        <f>HYPERLINK("https://klasma.github.io/Logging_1860/klagomål/A 28144-2022 FSC-klagomål.docx", "A 28144-2022")</f>
        <v/>
      </c>
      <c r="W21">
        <f>HYPERLINK("https://klasma.github.io/Logging_1860/klagomålsmail/A 28144-2022 FSC-klagomål mail.docx", "A 28144-2022")</f>
        <v/>
      </c>
      <c r="X21">
        <f>HYPERLINK("https://klasma.github.io/Logging_1860/tillsyn/A 28144-2022 tillsynsbegäran.docx", "A 28144-2022")</f>
        <v/>
      </c>
      <c r="Y21">
        <f>HYPERLINK("https://klasma.github.io/Logging_1860/tillsynsmail/A 28144-2022 tillsynsbegäran mail.docx", "A 28144-2022")</f>
        <v/>
      </c>
      <c r="Z21">
        <f>HYPERLINK("https://klasma.github.io/Logging_1860/fåglar/A 28144-2022 prioriterade fågelarter.docx", "A 28144-2022")</f>
        <v/>
      </c>
    </row>
    <row r="22" ht="15" customHeight="1">
      <c r="A22" t="inlineStr">
        <is>
          <t>A 43742-2022</t>
        </is>
      </c>
      <c r="B22" s="1" t="n">
        <v>44837</v>
      </c>
      <c r="C22" s="1" t="n">
        <v>45788</v>
      </c>
      <c r="D22" t="inlineStr">
        <is>
          <t>ÖREBRO LÄN</t>
        </is>
      </c>
      <c r="E22" t="inlineStr">
        <is>
          <t>LAXÅ</t>
        </is>
      </c>
      <c r="G22" t="n">
        <v>16.8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HYPERLINK("https://klasma.github.io/Logging_1860/artfynd/A 43742-2022 artfynd.xlsx", "A 43742-2022")</f>
        <v/>
      </c>
      <c r="T22">
        <f>HYPERLINK("https://klasma.github.io/Logging_1860/kartor/A 43742-2022 karta.png", "A 43742-2022")</f>
        <v/>
      </c>
      <c r="V22">
        <f>HYPERLINK("https://klasma.github.io/Logging_1860/klagomål/A 43742-2022 FSC-klagomål.docx", "A 43742-2022")</f>
        <v/>
      </c>
      <c r="W22">
        <f>HYPERLINK("https://klasma.github.io/Logging_1860/klagomålsmail/A 43742-2022 FSC-klagomål mail.docx", "A 43742-2022")</f>
        <v/>
      </c>
      <c r="X22">
        <f>HYPERLINK("https://klasma.github.io/Logging_1860/tillsyn/A 43742-2022 tillsynsbegäran.docx", "A 43742-2022")</f>
        <v/>
      </c>
      <c r="Y22">
        <f>HYPERLINK("https://klasma.github.io/Logging_1860/tillsynsmail/A 43742-2022 tillsynsbegäran mail.docx", "A 43742-2022")</f>
        <v/>
      </c>
    </row>
    <row r="23" ht="15" customHeight="1">
      <c r="A23" t="inlineStr">
        <is>
          <t>A 43745-2022</t>
        </is>
      </c>
      <c r="B23" s="1" t="n">
        <v>44837</v>
      </c>
      <c r="C23" s="1" t="n">
        <v>45788</v>
      </c>
      <c r="D23" t="inlineStr">
        <is>
          <t>ÖREBRO LÄN</t>
        </is>
      </c>
      <c r="E23" t="inlineStr">
        <is>
          <t>LAXÅ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HYPERLINK("https://klasma.github.io/Logging_1860/artfynd/A 43745-2022 artfynd.xlsx", "A 43745-2022")</f>
        <v/>
      </c>
      <c r="T23">
        <f>HYPERLINK("https://klasma.github.io/Logging_1860/kartor/A 43745-2022 karta.png", "A 43745-2022")</f>
        <v/>
      </c>
      <c r="V23">
        <f>HYPERLINK("https://klasma.github.io/Logging_1860/klagomål/A 43745-2022 FSC-klagomål.docx", "A 43745-2022")</f>
        <v/>
      </c>
      <c r="W23">
        <f>HYPERLINK("https://klasma.github.io/Logging_1860/klagomålsmail/A 43745-2022 FSC-klagomål mail.docx", "A 43745-2022")</f>
        <v/>
      </c>
      <c r="X23">
        <f>HYPERLINK("https://klasma.github.io/Logging_1860/tillsyn/A 43745-2022 tillsynsbegäran.docx", "A 43745-2022")</f>
        <v/>
      </c>
      <c r="Y23">
        <f>HYPERLINK("https://klasma.github.io/Logging_1860/tillsynsmail/A 43745-2022 tillsynsbegäran mail.docx", "A 43745-2022")</f>
        <v/>
      </c>
    </row>
    <row r="24" ht="15" customHeight="1">
      <c r="A24" t="inlineStr">
        <is>
          <t>A 54301-2022</t>
        </is>
      </c>
      <c r="B24" s="1" t="n">
        <v>44882</v>
      </c>
      <c r="C24" s="1" t="n">
        <v>45788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54301-2022 artfynd.xlsx", "A 54301-2022")</f>
        <v/>
      </c>
      <c r="T24">
        <f>HYPERLINK("https://klasma.github.io/Logging_1860/kartor/A 54301-2022 karta.png", "A 54301-2022")</f>
        <v/>
      </c>
      <c r="V24">
        <f>HYPERLINK("https://klasma.github.io/Logging_1860/klagomål/A 54301-2022 FSC-klagomål.docx", "A 54301-2022")</f>
        <v/>
      </c>
      <c r="W24">
        <f>HYPERLINK("https://klasma.github.io/Logging_1860/klagomålsmail/A 54301-2022 FSC-klagomål mail.docx", "A 54301-2022")</f>
        <v/>
      </c>
      <c r="X24">
        <f>HYPERLINK("https://klasma.github.io/Logging_1860/tillsyn/A 54301-2022 tillsynsbegäran.docx", "A 54301-2022")</f>
        <v/>
      </c>
      <c r="Y24">
        <f>HYPERLINK("https://klasma.github.io/Logging_1860/tillsynsmail/A 54301-2022 tillsynsbegäran mail.docx", "A 54301-2022")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45788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45788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45788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45788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45788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45788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45788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45788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45788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45788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45788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45788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45788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45788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45788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45788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45788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45788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45788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45788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45788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45788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45788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45788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45788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45788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45788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45788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45788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45788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45788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45788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45788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45788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45788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45788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45788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45788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45788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45788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45788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45788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45788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45788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45788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45788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45788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45788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45788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45788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45788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45788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45788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45788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45788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45788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45788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45788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45788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45788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45788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45788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45788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45788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45788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45788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45788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45788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45788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45788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45788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45788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45788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45788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45788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45788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45788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45788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45788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45788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45788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45788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45788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45788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45788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45788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45788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45788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45788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45788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45788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45788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45788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45788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45788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45788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45788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45788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45788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45788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45788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45788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45788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45788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45788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45788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45788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45788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45788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45788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45788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45788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45788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45788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45788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45788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45788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45788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45788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45788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45788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45788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45788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45788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45788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45788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45788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45788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45788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45788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45788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45788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45788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45788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45788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45788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45788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45788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45788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45788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45788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45788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45788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45788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45788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45788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45788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45788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45788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45788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45788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45788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45788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45788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45788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45788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45788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45788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45788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45788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45788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45788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45788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45788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45788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45788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45788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45788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45788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45788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45788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45788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45788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45788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45788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45788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45788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45788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45788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45788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45788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45788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45788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45788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45788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45788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45788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45788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45788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45788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45788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45788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45788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45788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45788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45788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45788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45788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45788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45788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45788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45788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45788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45788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45788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45788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45788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45788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45788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45788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45788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45788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45788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45788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45788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45788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45788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45788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45788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45788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45788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45788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45788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45788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45788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45788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45788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45788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45788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45788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45788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45788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45788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45788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45788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45788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45788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45788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45788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45788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45788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45788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45788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45788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45788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45788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45788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45788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45788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45788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45788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45788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45788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45788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45788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45788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45788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45788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45788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45788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45788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45788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45788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45788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45788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45788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45788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45788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45788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45788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45788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45788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45788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45788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45788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45788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45788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45788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45788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45788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45788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45788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45788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45788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45788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45788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45788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45788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45788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45788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45788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45788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45788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45788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45788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45788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45788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45788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45788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45788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45788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45788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45788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45788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45788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45788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45788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45788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45788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45788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45788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45788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45788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45788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45788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45788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45788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45788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45788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45788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45788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45788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45788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45788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45788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45788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45788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45788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45788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45788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45788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45788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45788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45788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45788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45788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45788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45788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45788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45788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45788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45788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45788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45788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45788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45788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45788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45788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45788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45788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45788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45788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45788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45788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45788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45788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45788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45788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45788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45788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45788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45788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45788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45788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45788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45788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45788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45788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45788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45788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45788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45788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45788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45788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45788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45788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45788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45788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45788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45788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45788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45788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45788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45788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45788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45788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45788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45788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45788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45788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45788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45788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45788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45788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45788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45788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45788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45788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45788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45788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45788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45788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45788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45788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45788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45788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45788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45788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45788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45788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45788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45788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45788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45788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45788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45788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45788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45788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45788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45788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45788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45788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45788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45788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45788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45788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45788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45788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45788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45788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45788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45788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45788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45788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45788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45788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45788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45788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45788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45788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45788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45788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45788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45788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45788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45788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45788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45788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45788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45788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45788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45788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45788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45788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45788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45788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45788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45788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45788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45788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45788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45788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45788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45788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45788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45788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45788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45788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45788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45788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45788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45788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45788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45788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45788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45788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45788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45788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45788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45788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45788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45788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45788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45788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45788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45788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45788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45788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45788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45788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45788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45788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45788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45788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45788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45788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45788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45788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45788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45788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45788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45788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45788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45788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45788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45788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45788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45788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45788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45788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45788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45788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45788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45788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45788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45788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45788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45788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45788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45788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45788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45788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45788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45788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45788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45788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45788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45788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45788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45788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45788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45788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45788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45788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45788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45788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45788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45788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45788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45788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45788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45788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45788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45788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45788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45788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45788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45788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45788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45788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45788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45788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45788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45788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45788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45788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45788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45788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45788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45788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45788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45788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45788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45788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45788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45788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45788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45788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45788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45788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45788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45788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45788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45788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45788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45788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45788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45788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45788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45788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45788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45788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45788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45788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45788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45788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45788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45788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45788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45788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45788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45788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45788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45788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45788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45788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45788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45788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45788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45788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45788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45788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45788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45788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45788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45788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45788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45788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45788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45788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45788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45788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45788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45788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45788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45788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45788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45788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45788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45788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45788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45788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45788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45788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45788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45788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45788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45788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45788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45788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45788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45788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45788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45788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45788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45788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45788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45788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45788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45788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45788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45788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45788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45788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45788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45788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45788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45788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45788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45788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45788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45788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45788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45788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45788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45788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45788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45788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45788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45788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45788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45788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45788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45788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45788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45788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45788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45788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45788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45788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45788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45788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45788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45788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45788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45788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45788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45788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45788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45788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45788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45788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45788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45788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45788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45788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45788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45788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45788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45788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45788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45788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45788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45788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45788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45788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45788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45788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45788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45788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45788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45788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45788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45788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45788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45788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45788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45788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45788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45788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45788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45788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45788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45788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45788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45788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45788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45788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45788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45788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45788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45788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45788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45788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45788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45788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45788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45788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45788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45788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45788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45788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45788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45788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45788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45788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45788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45788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45788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45788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45788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45788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45788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45788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45788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45788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45788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45788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45788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45788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45788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45788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45788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45788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45788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45788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45788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45788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45788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45788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45788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45788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45788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18835-2025</t>
        </is>
      </c>
      <c r="B788" s="1" t="n">
        <v>45764</v>
      </c>
      <c r="C788" s="1" t="n">
        <v>45788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45788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45788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45788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19820-2025</t>
        </is>
      </c>
      <c r="B792" s="1" t="n">
        <v>45771</v>
      </c>
      <c r="C792" s="1" t="n">
        <v>45788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19835-2025</t>
        </is>
      </c>
      <c r="B793" s="1" t="n">
        <v>45771</v>
      </c>
      <c r="C793" s="1" t="n">
        <v>45788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19807-2025</t>
        </is>
      </c>
      <c r="B794" s="1" t="n">
        <v>45771</v>
      </c>
      <c r="C794" s="1" t="n">
        <v>45788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21311-2025</t>
        </is>
      </c>
      <c r="B795" s="1" t="n">
        <v>45781</v>
      </c>
      <c r="C795" s="1" t="n">
        <v>45788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21474-2025</t>
        </is>
      </c>
      <c r="B796" s="1" t="n">
        <v>45782</v>
      </c>
      <c r="C796" s="1" t="n">
        <v>45788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22510-2025</t>
        </is>
      </c>
      <c r="B797" s="1" t="n">
        <v>45786</v>
      </c>
      <c r="C797" s="1" t="n">
        <v>45788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45788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22382-2025</t>
        </is>
      </c>
      <c r="B799" s="1" t="n">
        <v>45786</v>
      </c>
      <c r="C799" s="1" t="n">
        <v>45788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2025-05-11T17:21:00Z</dcterms:created>
  <dcterms:modified xmlns:dcterms="http://purl.org/dc/terms/" xmlns:xsi="http://www.w3.org/2001/XMLSchema-instance" xsi:type="dcterms:W3CDTF">2025-05-11T17:21:00Z</dcterms:modified>
</cp:coreProperties>
</file>