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46217</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46217</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46217</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46217</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46217</v>
      </c>
      <c r="F6" t="inlineStr">
        <is>
          <t>ÖREBRO LÄN</t>
        </is>
      </c>
      <c r="G6" t="inlineStr">
        <is>
          <t>LAXÅ</t>
        </is>
      </c>
      <c r="I6" t="n">
        <v>2.8</v>
      </c>
      <c r="J6" t="n">
        <v>6</v>
      </c>
      <c r="K6" t="n">
        <v>2</v>
      </c>
      <c r="L6" t="n">
        <v>1</v>
      </c>
      <c r="M6" t="n">
        <v>0</v>
      </c>
      <c r="N6" t="n">
        <v>0</v>
      </c>
      <c r="O6" t="n">
        <v>0</v>
      </c>
      <c r="P6" t="n">
        <v>0</v>
      </c>
      <c r="Q6" t="n">
        <v>1</v>
      </c>
      <c r="R6" t="n">
        <v>0</v>
      </c>
      <c r="S6" t="n">
        <v>8</v>
      </c>
      <c r="T6" t="n">
        <v>12</v>
      </c>
      <c r="U6" s="2" t="inlineStr">
        <is>
          <t>Talltita
Björksplintborre
Thomsons trägnagare
Spillkråka
Buskskvätta
Grönsiska
Kungsfågel
Ärtsångare</t>
        </is>
      </c>
      <c r="V6">
        <f>HYPERLINK("https://klasma.github.io/Logging_1860/artfynd/A 59606-2023 artfynd.xlsx", "A 59606-2023")</f>
        <v/>
      </c>
      <c r="W6">
        <f>HYPERLINK("https://klasma.github.io/Logging_1860/kartor/A 59606-2023 karta.png", "A 59606-2023")</f>
        <v/>
      </c>
      <c r="Y6">
        <f>HYPERLINK("https://klasma.github.io/Logging_1860/klagomål/A 59606-2023 FSC-klagomål.docx", "A 59606-2023")</f>
        <v/>
      </c>
      <c r="Z6">
        <f>HYPERLINK("https://klasma.github.io/Logging_1860/klagomålsmail/A 59606-2023 FSC-klagomål mail.docx", "A 59606-2023")</f>
        <v/>
      </c>
      <c r="AA6">
        <f>HYPERLINK("https://klasma.github.io/Logging_1860/tillsyn/A 59606-2023 tillsynsbegäran.docx", "A 59606-2023")</f>
        <v/>
      </c>
      <c r="AB6">
        <f>HYPERLINK("https://klasma.github.io/Logging_1860/tillsynsmail/A 59606-2023 tillsynsbegäran mail.docx", "A 59606-2023")</f>
        <v/>
      </c>
      <c r="AC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46217</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s="2" t="inlineStr">
        <is>
          <t>Dropptaggsvamp
Tretåig hackspett
Bronshjon
Thomsons trägnagare
Vågbandad barkbock
Mattlummer
Spillkråka
Tjäder</t>
        </is>
      </c>
      <c r="V7">
        <f>HYPERLINK("https://klasma.github.io/Logging_1860/artfynd/A 60589-2025 artfynd.xlsx", "A 60589-2025")</f>
        <v/>
      </c>
      <c r="W7">
        <f>HYPERLINK("https://klasma.github.io/Logging_1860/kartor/A 60589-2025 karta.png", "A 60589-2025")</f>
        <v/>
      </c>
      <c r="Y7">
        <f>HYPERLINK("https://klasma.github.io/Logging_1860/klagomål/A 60589-2025 FSC-klagomål.docx", "A 60589-2025")</f>
        <v/>
      </c>
      <c r="Z7">
        <f>HYPERLINK("https://klasma.github.io/Logging_1860/klagomålsmail/A 60589-2025 FSC-klagomål mail.docx", "A 60589-2025")</f>
        <v/>
      </c>
      <c r="AA7">
        <f>HYPERLINK("https://klasma.github.io/Logging_1860/tillsyn/A 60589-2025 tillsynsbegäran.docx", "A 60589-2025")</f>
        <v/>
      </c>
      <c r="AB7">
        <f>HYPERLINK("https://klasma.github.io/Logging_1860/tillsynsmail/A 60589-2025 tillsynsbegäran mail.docx", "A 60589-2025")</f>
        <v/>
      </c>
      <c r="AC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46217</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46217</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46217</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46217</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s="2" t="inlineStr">
        <is>
          <t>Tretåig hackspett
Thomsons trägnagare
Vedticka
Vågbandad barkbock
Spillkråka
Tjäder</t>
        </is>
      </c>
      <c r="V11">
        <f>HYPERLINK("https://klasma.github.io/Logging_1860/artfynd/A 56010-2025 artfynd.xlsx", "A 56010-2025")</f>
        <v/>
      </c>
      <c r="W11">
        <f>HYPERLINK("https://klasma.github.io/Logging_1860/kartor/A 56010-2025 karta.png", "A 56010-2025")</f>
        <v/>
      </c>
      <c r="Y11">
        <f>HYPERLINK("https://klasma.github.io/Logging_1860/klagomål/A 56010-2025 FSC-klagomål.docx", "A 56010-2025")</f>
        <v/>
      </c>
      <c r="Z11">
        <f>HYPERLINK("https://klasma.github.io/Logging_1860/klagomålsmail/A 56010-2025 FSC-klagomål mail.docx", "A 56010-2025")</f>
        <v/>
      </c>
      <c r="AA11">
        <f>HYPERLINK("https://klasma.github.io/Logging_1860/tillsyn/A 56010-2025 tillsynsbegäran.docx", "A 56010-2025")</f>
        <v/>
      </c>
      <c r="AB11">
        <f>HYPERLINK("https://klasma.github.io/Logging_1860/tillsynsmail/A 56010-2025 tillsynsbegäran mail.docx", "A 56010-2025")</f>
        <v/>
      </c>
      <c r="AC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46217</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s="2" t="inlineStr">
        <is>
          <t>Dropptaggsvamp
Talltita
Tretåig hackspett
Mattlummer
Spillkråka
Tjäder</t>
        </is>
      </c>
      <c r="V12">
        <f>HYPERLINK("https://klasma.github.io/Logging_1860/artfynd/A 60587-2025 artfynd.xlsx", "A 60587-2025")</f>
        <v/>
      </c>
      <c r="W12">
        <f>HYPERLINK("https://klasma.github.io/Logging_1860/kartor/A 60587-2025 karta.png", "A 60587-2025")</f>
        <v/>
      </c>
      <c r="Y12">
        <f>HYPERLINK("https://klasma.github.io/Logging_1860/klagomål/A 60587-2025 FSC-klagomål.docx", "A 60587-2025")</f>
        <v/>
      </c>
      <c r="Z12">
        <f>HYPERLINK("https://klasma.github.io/Logging_1860/klagomålsmail/A 60587-2025 FSC-klagomål mail.docx", "A 60587-2025")</f>
        <v/>
      </c>
      <c r="AA12">
        <f>HYPERLINK("https://klasma.github.io/Logging_1860/tillsyn/A 60587-2025 tillsynsbegäran.docx", "A 60587-2025")</f>
        <v/>
      </c>
      <c r="AB12">
        <f>HYPERLINK("https://klasma.github.io/Logging_1860/tillsynsmail/A 60587-2025 tillsynsbegäran mail.docx", "A 60587-2025")</f>
        <v/>
      </c>
      <c r="AC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46217</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Y13">
        <f>HYPERLINK("https://klasma.github.io/Logging_1860/klagomål/A 34285-2024 FSC-klagomål.docx", "A 34285-2024")</f>
        <v/>
      </c>
      <c r="Z13">
        <f>HYPERLINK("https://klasma.github.io/Logging_1860/klagomålsmail/A 34285-2024 FSC-klagomål mail.docx", "A 34285-2024")</f>
        <v/>
      </c>
      <c r="AA13">
        <f>HYPERLINK("https://klasma.github.io/Logging_1860/tillsyn/A 34285-2024 tillsynsbegäran.docx", "A 34285-2024")</f>
        <v/>
      </c>
      <c r="AB13">
        <f>HYPERLINK("https://klasma.github.io/Logging_1860/tillsynsmail/A 34285-2024 tillsynsbegäran mail.docx", "A 34285-2024")</f>
        <v/>
      </c>
      <c r="AC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46217</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Y14">
        <f>HYPERLINK("https://klasma.github.io/Logging_1860/klagomål/A 56017-2025 FSC-klagomål.docx", "A 56017-2025")</f>
        <v/>
      </c>
      <c r="Z14">
        <f>HYPERLINK("https://klasma.github.io/Logging_1860/klagomålsmail/A 56017-2025 FSC-klagomål mail.docx", "A 56017-2025")</f>
        <v/>
      </c>
      <c r="AA14">
        <f>HYPERLINK("https://klasma.github.io/Logging_1860/tillsyn/A 56017-2025 tillsynsbegäran.docx", "A 56017-2025")</f>
        <v/>
      </c>
      <c r="AB14">
        <f>HYPERLINK("https://klasma.github.io/Logging_1860/tillsynsmail/A 56017-2025 tillsynsbegäran mail.docx", "A 56017-2025")</f>
        <v/>
      </c>
      <c r="AC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46217</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s="2" t="inlineStr">
        <is>
          <t>Dropptaggsvamp
Motaggsvamp
Tallticka
Blomkålssvamp</t>
        </is>
      </c>
      <c r="V15">
        <f>HYPERLINK("https://klasma.github.io/Logging_1860/artfynd/A 50580-2022 artfynd.xlsx", "A 50580-2022")</f>
        <v/>
      </c>
      <c r="W15">
        <f>HYPERLINK("https://klasma.github.io/Logging_1860/kartor/A 50580-2022 karta.png", "A 50580-2022")</f>
        <v/>
      </c>
      <c r="Y15">
        <f>HYPERLINK("https://klasma.github.io/Logging_1860/klagomål/A 50580-2022 FSC-klagomål.docx", "A 50580-2022")</f>
        <v/>
      </c>
      <c r="Z15">
        <f>HYPERLINK("https://klasma.github.io/Logging_1860/klagomålsmail/A 50580-2022 FSC-klagomål mail.docx", "A 50580-2022")</f>
        <v/>
      </c>
      <c r="AA15">
        <f>HYPERLINK("https://klasma.github.io/Logging_1860/tillsyn/A 50580-2022 tillsynsbegäran.docx", "A 50580-2022")</f>
        <v/>
      </c>
      <c r="AB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46217</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s="2" t="inlineStr">
        <is>
          <t>Svart skogssnigel
Tjäder
Vanlig groda
Revlummer</t>
        </is>
      </c>
      <c r="V16">
        <f>HYPERLINK("https://klasma.github.io/Logging_1860/artfynd/A 20941-2026 artfynd.xlsx", "A 20941-2026")</f>
        <v/>
      </c>
      <c r="W16">
        <f>HYPERLINK("https://klasma.github.io/Logging_1860/kartor/A 20941-2026 karta.png", "A 20941-2026")</f>
        <v/>
      </c>
      <c r="Y16">
        <f>HYPERLINK("https://klasma.github.io/Logging_1860/klagomål/A 20941-2026 FSC-klagomål.docx", "A 20941-2026")</f>
        <v/>
      </c>
      <c r="Z16">
        <f>HYPERLINK("https://klasma.github.io/Logging_1860/klagomålsmail/A 20941-2026 FSC-klagomål mail.docx", "A 20941-2026")</f>
        <v/>
      </c>
      <c r="AA16">
        <f>HYPERLINK("https://klasma.github.io/Logging_1860/tillsyn/A 20941-2026 tillsynsbegäran.docx", "A 20941-2026")</f>
        <v/>
      </c>
      <c r="AB16">
        <f>HYPERLINK("https://klasma.github.io/Logging_1860/tillsynsmail/A 20941-2026 tillsynsbegäran mail.docx", "A 20941-2026")</f>
        <v/>
      </c>
      <c r="AC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46217</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s="2" t="inlineStr">
        <is>
          <t>Talltita
Spillkråka
Orre
Vanlig groda</t>
        </is>
      </c>
      <c r="V17">
        <f>HYPERLINK("https://klasma.github.io/Logging_1860/artfynd/A 62805-2025 artfynd.xlsx", "A 62805-2025")</f>
        <v/>
      </c>
      <c r="W17">
        <f>HYPERLINK("https://klasma.github.io/Logging_1860/kartor/A 62805-2025 karta.png", "A 62805-2025")</f>
        <v/>
      </c>
      <c r="Y17">
        <f>HYPERLINK("https://klasma.github.io/Logging_1860/klagomål/A 62805-2025 FSC-klagomål.docx", "A 62805-2025")</f>
        <v/>
      </c>
      <c r="Z17">
        <f>HYPERLINK("https://klasma.github.io/Logging_1860/klagomålsmail/A 62805-2025 FSC-klagomål mail.docx", "A 62805-2025")</f>
        <v/>
      </c>
      <c r="AA17">
        <f>HYPERLINK("https://klasma.github.io/Logging_1860/tillsyn/A 62805-2025 tillsynsbegäran.docx", "A 62805-2025")</f>
        <v/>
      </c>
      <c r="AB17">
        <f>HYPERLINK("https://klasma.github.io/Logging_1860/tillsynsmail/A 62805-2025 tillsynsbegäran mail.docx", "A 62805-2025")</f>
        <v/>
      </c>
      <c r="AC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46217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s="2" t="inlineStr">
        <is>
          <t>Talltita
Tretåig hackspett
Spillkråka
Tjäder</t>
        </is>
      </c>
      <c r="V18">
        <f>HYPERLINK("https://klasma.github.io/Logging_1860/artfynd/A 60580-2025 artfynd.xlsx", "A 60580-2025")</f>
        <v/>
      </c>
      <c r="W18">
        <f>HYPERLINK("https://klasma.github.io/Logging_1860/kartor/A 60580-2025 karta.png", "A 60580-2025")</f>
        <v/>
      </c>
      <c r="Y18">
        <f>HYPERLINK("https://klasma.github.io/Logging_1860/klagomål/A 60580-2025 FSC-klagomål.docx", "A 60580-2025")</f>
        <v/>
      </c>
      <c r="Z18">
        <f>HYPERLINK("https://klasma.github.io/Logging_1860/klagomålsmail/A 60580-2025 FSC-klagomål mail.docx", "A 60580-2025")</f>
        <v/>
      </c>
      <c r="AA18">
        <f>HYPERLINK("https://klasma.github.io/Logging_1860/tillsyn/A 60580-2025 tillsynsbegäran.docx", "A 60580-2025")</f>
        <v/>
      </c>
      <c r="AB18">
        <f>HYPERLINK("https://klasma.github.io/Logging_1860/tillsynsmail/A 60580-2025 tillsynsbegäran mail.docx", "A 60580-2025")</f>
        <v/>
      </c>
      <c r="AC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46217</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46217</v>
      </c>
      <c r="F20" t="inlineStr">
        <is>
          <t>ÖREBRO LÄN</t>
        </is>
      </c>
      <c r="G20" t="inlineStr">
        <is>
          <t>LAXÅ</t>
        </is>
      </c>
      <c r="I20" t="n">
        <v>0.9</v>
      </c>
      <c r="J20" t="n">
        <v>3</v>
      </c>
      <c r="K20" t="n">
        <v>0</v>
      </c>
      <c r="L20" t="n">
        <v>1</v>
      </c>
      <c r="M20" t="n">
        <v>0</v>
      </c>
      <c r="N20" t="n">
        <v>0</v>
      </c>
      <c r="O20" t="n">
        <v>0</v>
      </c>
      <c r="P20" t="n">
        <v>0</v>
      </c>
      <c r="Q20" t="n">
        <v>1</v>
      </c>
      <c r="R20" t="n">
        <v>0</v>
      </c>
      <c r="S20" t="n">
        <v>3</v>
      </c>
      <c r="T20" t="n">
        <v>4</v>
      </c>
      <c r="U20" s="2" t="inlineStr">
        <is>
          <t>Järnsparv
Grönsiska
Kråka</t>
        </is>
      </c>
      <c r="V20">
        <f>HYPERLINK("https://klasma.github.io/Logging_1860/artfynd/A 34279-2024 artfynd.xlsx", "A 34279-2024")</f>
        <v/>
      </c>
      <c r="W20">
        <f>HYPERLINK("https://klasma.github.io/Logging_1860/kartor/A 34279-2024 karta.png", "A 34279-2024")</f>
        <v/>
      </c>
      <c r="Y20">
        <f>HYPERLINK("https://klasma.github.io/Logging_1860/klagomål/A 34279-2024 FSC-klagomål.docx", "A 34279-2024")</f>
        <v/>
      </c>
      <c r="Z20">
        <f>HYPERLINK("https://klasma.github.io/Logging_1860/klagomålsmail/A 34279-2024 FSC-klagomål mail.docx", "A 34279-2024")</f>
        <v/>
      </c>
      <c r="AA20">
        <f>HYPERLINK("https://klasma.github.io/Logging_1860/tillsyn/A 34279-2024 tillsynsbegäran.docx", "A 34279-2024")</f>
        <v/>
      </c>
      <c r="AB20">
        <f>HYPERLINK("https://klasma.github.io/Logging_1860/tillsynsmail/A 34279-2024 tillsynsbegäran mail.docx", "A 34279-2024")</f>
        <v/>
      </c>
      <c r="AC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46217</v>
      </c>
      <c r="F21" t="inlineStr">
        <is>
          <t>ÖREBRO LÄN</t>
        </is>
      </c>
      <c r="G21" t="inlineStr">
        <is>
          <t>LAXÅ</t>
        </is>
      </c>
      <c r="I21" t="n">
        <v>1.8</v>
      </c>
      <c r="J21" t="n">
        <v>3</v>
      </c>
      <c r="K21" t="n">
        <v>0</v>
      </c>
      <c r="L21" t="n">
        <v>1</v>
      </c>
      <c r="M21" t="n">
        <v>0</v>
      </c>
      <c r="N21" t="n">
        <v>0</v>
      </c>
      <c r="O21" t="n">
        <v>0</v>
      </c>
      <c r="P21" t="n">
        <v>0</v>
      </c>
      <c r="Q21" t="n">
        <v>1</v>
      </c>
      <c r="R21" t="n">
        <v>0</v>
      </c>
      <c r="S21" t="n">
        <v>3</v>
      </c>
      <c r="T21" t="n">
        <v>6</v>
      </c>
      <c r="U21" s="2" t="inlineStr">
        <is>
          <t>Järnsparv
Grönsiska
Kungsfågel</t>
        </is>
      </c>
      <c r="V21">
        <f>HYPERLINK("https://klasma.github.io/Logging_1860/artfynd/A 34283-2024 artfynd.xlsx", "A 34283-2024")</f>
        <v/>
      </c>
      <c r="W21">
        <f>HYPERLINK("https://klasma.github.io/Logging_1860/kartor/A 34283-2024 karta.png", "A 34283-2024")</f>
        <v/>
      </c>
      <c r="Y21">
        <f>HYPERLINK("https://klasma.github.io/Logging_1860/klagomål/A 34283-2024 FSC-klagomål.docx", "A 34283-2024")</f>
        <v/>
      </c>
      <c r="Z21">
        <f>HYPERLINK("https://klasma.github.io/Logging_1860/klagomålsmail/A 34283-2024 FSC-klagomål mail.docx", "A 34283-2024")</f>
        <v/>
      </c>
      <c r="AA21">
        <f>HYPERLINK("https://klasma.github.io/Logging_1860/tillsyn/A 34283-2024 tillsynsbegäran.docx", "A 34283-2024")</f>
        <v/>
      </c>
      <c r="AB21">
        <f>HYPERLINK("https://klasma.github.io/Logging_1860/tillsynsmail/A 34283-2024 tillsynsbegäran mail.docx", "A 34283-2024")</f>
        <v/>
      </c>
      <c r="AC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46217</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s="2" t="inlineStr">
        <is>
          <t>Borsttåg
Entita
Björksplintborre</t>
        </is>
      </c>
      <c r="V22">
        <f>HYPERLINK("https://klasma.github.io/Logging_1860/artfynd/A 61096-2023 artfynd.xlsx", "A 61096-2023")</f>
        <v/>
      </c>
      <c r="W22">
        <f>HYPERLINK("https://klasma.github.io/Logging_1860/kartor/A 61096-2023 karta.png", "A 61096-2023")</f>
        <v/>
      </c>
      <c r="Y22">
        <f>HYPERLINK("https://klasma.github.io/Logging_1860/klagomål/A 61096-2023 FSC-klagomål.docx", "A 61096-2023")</f>
        <v/>
      </c>
      <c r="Z22">
        <f>HYPERLINK("https://klasma.github.io/Logging_1860/klagomålsmail/A 61096-2023 FSC-klagomål mail.docx", "A 61096-2023")</f>
        <v/>
      </c>
      <c r="AA22">
        <f>HYPERLINK("https://klasma.github.io/Logging_1860/tillsyn/A 61096-2023 tillsynsbegäran.docx", "A 61096-2023")</f>
        <v/>
      </c>
      <c r="AB22">
        <f>HYPERLINK("https://klasma.github.io/Logging_1860/tillsynsmail/A 61096-2023 tillsynsbegäran mail.docx", "A 61096-2023")</f>
        <v/>
      </c>
      <c r="AC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46217</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46217</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46217</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46217</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s="2" t="inlineStr">
        <is>
          <t>Motaggsvamp
Fläcknycklar</t>
        </is>
      </c>
      <c r="V26">
        <f>HYPERLINK("https://klasma.github.io/Logging_1860/artfynd/A 60686-2025 artfynd.xlsx", "A 60686-2025")</f>
        <v/>
      </c>
      <c r="W26">
        <f>HYPERLINK("https://klasma.github.io/Logging_1860/kartor/A 60686-2025 karta.png", "A 60686-2025")</f>
        <v/>
      </c>
      <c r="Y26">
        <f>HYPERLINK("https://klasma.github.io/Logging_1860/klagomål/A 60686-2025 FSC-klagomål.docx", "A 60686-2025")</f>
        <v/>
      </c>
      <c r="Z26">
        <f>HYPERLINK("https://klasma.github.io/Logging_1860/klagomålsmail/A 60686-2025 FSC-klagomål mail.docx", "A 60686-2025")</f>
        <v/>
      </c>
      <c r="AA26">
        <f>HYPERLINK("https://klasma.github.io/Logging_1860/tillsyn/A 60686-2025 tillsynsbegäran.docx", "A 60686-2025")</f>
        <v/>
      </c>
      <c r="AB26">
        <f>HYPERLINK("https://klasma.github.io/Logging_1860/tillsynsmail/A 60686-2025 tillsynsbegäran mail.docx", "A 60686-2025")</f>
        <v/>
      </c>
    </row>
    <row r="27" ht="15" customHeight="1">
      <c r="A27" t="inlineStr">
        <is>
          <t>A 38633-2023</t>
        </is>
      </c>
      <c r="B27" t="inlineStr">
        <is>
          <t>avverkningsanmälan</t>
        </is>
      </c>
      <c r="C27" t="inlineStr">
        <is>
          <t>Föryngringsavverkning</t>
        </is>
      </c>
      <c r="D27" s="1" t="n">
        <v>45160</v>
      </c>
      <c r="E27" s="1" t="n">
        <v>46217</v>
      </c>
      <c r="F27" t="inlineStr">
        <is>
          <t>ÖREBRO LÄN</t>
        </is>
      </c>
      <c r="G27" t="inlineStr">
        <is>
          <t>LAXÅ</t>
        </is>
      </c>
      <c r="I27" t="n">
        <v>1.7</v>
      </c>
      <c r="J27" t="n">
        <v>1</v>
      </c>
      <c r="K27" t="n">
        <v>1</v>
      </c>
      <c r="L27" t="n">
        <v>0</v>
      </c>
      <c r="M27" t="n">
        <v>0</v>
      </c>
      <c r="N27" t="n">
        <v>0</v>
      </c>
      <c r="O27" t="n">
        <v>0</v>
      </c>
      <c r="P27" t="n">
        <v>0</v>
      </c>
      <c r="Q27" t="n">
        <v>0</v>
      </c>
      <c r="R27" t="n">
        <v>0</v>
      </c>
      <c r="S27" t="n">
        <v>2</v>
      </c>
      <c r="T27" t="n">
        <v>2</v>
      </c>
      <c r="U27" s="2" t="inlineStr">
        <is>
          <t>Kornknutmossa
Fläcknycklar</t>
        </is>
      </c>
      <c r="V27">
        <f>HYPERLINK("https://klasma.github.io/Logging_1860/artfynd/A 38633-2023 artfynd.xlsx", "A 38633-2023")</f>
        <v/>
      </c>
      <c r="W27">
        <f>HYPERLINK("https://klasma.github.io/Logging_1860/kartor/A 38633-2023 karta.png", "A 38633-2023")</f>
        <v/>
      </c>
      <c r="Y27">
        <f>HYPERLINK("https://klasma.github.io/Logging_1860/klagomål/A 38633-2023 FSC-klagomål.docx", "A 38633-2023")</f>
        <v/>
      </c>
      <c r="Z27">
        <f>HYPERLINK("https://klasma.github.io/Logging_1860/klagomålsmail/A 38633-2023 FSC-klagomål mail.docx", "A 38633-2023")</f>
        <v/>
      </c>
      <c r="AA27">
        <f>HYPERLINK("https://klasma.github.io/Logging_1860/tillsyn/A 38633-2023 tillsynsbegäran.docx", "A 38633-2023")</f>
        <v/>
      </c>
      <c r="AB27">
        <f>HYPERLINK("https://klasma.github.io/Logging_1860/tillsynsmail/A 38633-2023 tillsynsbegäran mail.docx", "A 38633-2023")</f>
        <v/>
      </c>
    </row>
    <row r="28" ht="15" customHeight="1">
      <c r="A28" t="inlineStr">
        <is>
          <t>A 61528-2025</t>
        </is>
      </c>
      <c r="B28" t="inlineStr">
        <is>
          <t>avverkningsanmälan</t>
        </is>
      </c>
      <c r="C28" t="inlineStr">
        <is>
          <t>Föryngringsavverkning</t>
        </is>
      </c>
      <c r="D28" s="1" t="n">
        <v>46001</v>
      </c>
      <c r="E28" s="1" t="n">
        <v>46217</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s="2" t="inlineStr">
        <is>
          <t>Talltita
Spillkråka</t>
        </is>
      </c>
      <c r="V28">
        <f>HYPERLINK("https://klasma.github.io/Logging_1860/artfynd/A 61528-2025 artfynd.xlsx", "A 61528-2025")</f>
        <v/>
      </c>
      <c r="W28">
        <f>HYPERLINK("https://klasma.github.io/Logging_1860/kartor/A 61528-2025 karta.png", "A 61528-2025")</f>
        <v/>
      </c>
      <c r="Y28">
        <f>HYPERLINK("https://klasma.github.io/Logging_1860/klagomål/A 61528-2025 FSC-klagomål.docx", "A 61528-2025")</f>
        <v/>
      </c>
      <c r="Z28">
        <f>HYPERLINK("https://klasma.github.io/Logging_1860/klagomålsmail/A 61528-2025 FSC-klagomål mail.docx", "A 61528-2025")</f>
        <v/>
      </c>
      <c r="AA28">
        <f>HYPERLINK("https://klasma.github.io/Logging_1860/tillsyn/A 61528-2025 tillsynsbegäran.docx", "A 61528-2025")</f>
        <v/>
      </c>
      <c r="AB28">
        <f>HYPERLINK("https://klasma.github.io/Logging_1860/tillsynsmail/A 61528-2025 tillsynsbegäran mail.docx", "A 61528-2025")</f>
        <v/>
      </c>
      <c r="AC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46217</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s="2" t="inlineStr">
        <is>
          <t>Tretåig hackspett
Tjäder</t>
        </is>
      </c>
      <c r="V29">
        <f>HYPERLINK("https://klasma.github.io/Logging_1860/artfynd/A 54715-2023 artfynd.xlsx", "A 54715-2023")</f>
        <v/>
      </c>
      <c r="W29">
        <f>HYPERLINK("https://klasma.github.io/Logging_1860/kartor/A 54715-2023 karta.png", "A 54715-2023")</f>
        <v/>
      </c>
      <c r="Y29">
        <f>HYPERLINK("https://klasma.github.io/Logging_1860/klagomål/A 54715-2023 FSC-klagomål.docx", "A 54715-2023")</f>
        <v/>
      </c>
      <c r="Z29">
        <f>HYPERLINK("https://klasma.github.io/Logging_1860/klagomålsmail/A 54715-2023 FSC-klagomål mail.docx", "A 54715-2023")</f>
        <v/>
      </c>
      <c r="AA29">
        <f>HYPERLINK("https://klasma.github.io/Logging_1860/tillsyn/A 54715-2023 tillsynsbegäran.docx", "A 54715-2023")</f>
        <v/>
      </c>
      <c r="AB29">
        <f>HYPERLINK("https://klasma.github.io/Logging_1860/tillsynsmail/A 54715-2023 tillsynsbegäran mail.docx", "A 54715-2023")</f>
        <v/>
      </c>
      <c r="AC29">
        <f>HYPERLINK("https://klasma.github.io/Logging_1860/fåglar/A 54715-2023 prioriterade fågelarter.docx", "A 54715-2023")</f>
        <v/>
      </c>
    </row>
    <row r="30" ht="15" customHeight="1">
      <c r="A30" t="inlineStr">
        <is>
          <t>A 25397-2024</t>
        </is>
      </c>
      <c r="B30" t="inlineStr">
        <is>
          <t>avverkningsanmälan</t>
        </is>
      </c>
      <c r="C30" t="inlineStr">
        <is>
          <t>Föryngringsavverkning</t>
        </is>
      </c>
      <c r="D30" s="1" t="n">
        <v>45463</v>
      </c>
      <c r="E30" s="1" t="n">
        <v>46217</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s="2" t="inlineStr">
        <is>
          <t>Tretåig hackspett
Spillkråka</t>
        </is>
      </c>
      <c r="V30">
        <f>HYPERLINK("https://klasma.github.io/Logging_1860/artfynd/A 25397-2024 artfynd.xlsx", "A 25397-2024")</f>
        <v/>
      </c>
      <c r="W30">
        <f>HYPERLINK("https://klasma.github.io/Logging_1860/kartor/A 25397-2024 karta.png", "A 25397-2024")</f>
        <v/>
      </c>
      <c r="Y30">
        <f>HYPERLINK("https://klasma.github.io/Logging_1860/klagomål/A 25397-2024 FSC-klagomål.docx", "A 25397-2024")</f>
        <v/>
      </c>
      <c r="Z30">
        <f>HYPERLINK("https://klasma.github.io/Logging_1860/klagomålsmail/A 25397-2024 FSC-klagomål mail.docx", "A 25397-2024")</f>
        <v/>
      </c>
      <c r="AA30">
        <f>HYPERLINK("https://klasma.github.io/Logging_1860/tillsyn/A 25397-2024 tillsynsbegäran.docx", "A 25397-2024")</f>
        <v/>
      </c>
      <c r="AB30">
        <f>HYPERLINK("https://klasma.github.io/Logging_1860/tillsynsmail/A 25397-2024 tillsynsbegäran mail.docx", "A 25397-2024")</f>
        <v/>
      </c>
      <c r="AC30">
        <f>HYPERLINK("https://klasma.github.io/Logging_1860/fåglar/A 25397-2024 prioriterade fågelarter.docx", "A 25397-2024")</f>
        <v/>
      </c>
    </row>
    <row r="31" ht="15" customHeight="1">
      <c r="A31" t="inlineStr">
        <is>
          <t>A 50770-2022</t>
        </is>
      </c>
      <c r="B31" t="inlineStr">
        <is>
          <t>avverkningsanmälan</t>
        </is>
      </c>
      <c r="C31" t="inlineStr">
        <is>
          <t>Föryngringsavverkning</t>
        </is>
      </c>
      <c r="D31" s="1" t="n">
        <v>44867</v>
      </c>
      <c r="E31" s="1" t="n">
        <v>46217</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s="2" t="inlineStr">
        <is>
          <t>Tretåig hackspett
Spillkråka</t>
        </is>
      </c>
      <c r="V31">
        <f>HYPERLINK("https://klasma.github.io/Logging_1860/artfynd/A 50770-2022 artfynd.xlsx", "A 50770-2022")</f>
        <v/>
      </c>
      <c r="W31">
        <f>HYPERLINK("https://klasma.github.io/Logging_1860/kartor/A 50770-2022 karta.png", "A 50770-2022")</f>
        <v/>
      </c>
      <c r="Y31">
        <f>HYPERLINK("https://klasma.github.io/Logging_1860/klagomål/A 50770-2022 FSC-klagomål.docx", "A 50770-2022")</f>
        <v/>
      </c>
      <c r="Z31">
        <f>HYPERLINK("https://klasma.github.io/Logging_1860/klagomålsmail/A 50770-2022 FSC-klagomål mail.docx", "A 50770-2022")</f>
        <v/>
      </c>
      <c r="AA31">
        <f>HYPERLINK("https://klasma.github.io/Logging_1860/tillsyn/A 50770-2022 tillsynsbegäran.docx", "A 50770-2022")</f>
        <v/>
      </c>
      <c r="AB31">
        <f>HYPERLINK("https://klasma.github.io/Logging_1860/tillsynsmail/A 50770-2022 tillsynsbegäran mail.docx", "A 50770-2022")</f>
        <v/>
      </c>
      <c r="AC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46217</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s="2" t="inlineStr">
        <is>
          <t>Talltita
Tjäder</t>
        </is>
      </c>
      <c r="V32">
        <f>HYPERLINK("https://klasma.github.io/Logging_1860/artfynd/A 50754-2022 artfynd.xlsx", "A 50754-2022")</f>
        <v/>
      </c>
      <c r="W32">
        <f>HYPERLINK("https://klasma.github.io/Logging_1860/kartor/A 50754-2022 karta.png", "A 50754-2022")</f>
        <v/>
      </c>
      <c r="Y32">
        <f>HYPERLINK("https://klasma.github.io/Logging_1860/klagomål/A 50754-2022 FSC-klagomål.docx", "A 50754-2022")</f>
        <v/>
      </c>
      <c r="Z32">
        <f>HYPERLINK("https://klasma.github.io/Logging_1860/klagomålsmail/A 50754-2022 FSC-klagomål mail.docx", "A 50754-2022")</f>
        <v/>
      </c>
      <c r="AA32">
        <f>HYPERLINK("https://klasma.github.io/Logging_1860/tillsyn/A 50754-2022 tillsynsbegäran.docx", "A 50754-2022")</f>
        <v/>
      </c>
      <c r="AB32">
        <f>HYPERLINK("https://klasma.github.io/Logging_1860/tillsynsmail/A 50754-2022 tillsynsbegäran mail.docx", "A 50754-2022")</f>
        <v/>
      </c>
      <c r="AC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46217</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s="2" t="inlineStr">
        <is>
          <t>Talltita
Tjäder</t>
        </is>
      </c>
      <c r="V33">
        <f>HYPERLINK("https://klasma.github.io/Logging_1860/artfynd/A 56004-2025 artfynd.xlsx", "A 56004-2025")</f>
        <v/>
      </c>
      <c r="W33">
        <f>HYPERLINK("https://klasma.github.io/Logging_1860/kartor/A 56004-2025 karta.png", "A 56004-2025")</f>
        <v/>
      </c>
      <c r="Y33">
        <f>HYPERLINK("https://klasma.github.io/Logging_1860/klagomål/A 56004-2025 FSC-klagomål.docx", "A 56004-2025")</f>
        <v/>
      </c>
      <c r="Z33">
        <f>HYPERLINK("https://klasma.github.io/Logging_1860/klagomålsmail/A 56004-2025 FSC-klagomål mail.docx", "A 56004-2025")</f>
        <v/>
      </c>
      <c r="AA33">
        <f>HYPERLINK("https://klasma.github.io/Logging_1860/tillsyn/A 56004-2025 tillsynsbegäran.docx", "A 56004-2025")</f>
        <v/>
      </c>
      <c r="AB33">
        <f>HYPERLINK("https://klasma.github.io/Logging_1860/tillsynsmail/A 56004-2025 tillsynsbegäran mail.docx", "A 56004-2025")</f>
        <v/>
      </c>
      <c r="AC33">
        <f>HYPERLINK("https://klasma.github.io/Logging_1860/fåglar/A 56004-2025 prioriterade fågelarter.docx", "A 56004-2025")</f>
        <v/>
      </c>
    </row>
    <row r="34" ht="15" customHeight="1">
      <c r="A34" t="inlineStr">
        <is>
          <t>A 11018-2022</t>
        </is>
      </c>
      <c r="B34" t="inlineStr">
        <is>
          <t>avverkningsanmälan</t>
        </is>
      </c>
      <c r="C34" t="inlineStr">
        <is>
          <t>Föryngringsavverkning</t>
        </is>
      </c>
      <c r="D34" s="1" t="n">
        <v>44628</v>
      </c>
      <c r="E34" s="1" t="n">
        <v>46217</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s="2" t="inlineStr">
        <is>
          <t>Västlig hakmossa
Spillkråka</t>
        </is>
      </c>
      <c r="V34">
        <f>HYPERLINK("https://klasma.github.io/Logging_1860/artfynd/A 11018-2022 artfynd.xlsx", "A 11018-2022")</f>
        <v/>
      </c>
      <c r="W34">
        <f>HYPERLINK("https://klasma.github.io/Logging_1860/kartor/A 11018-2022 karta.png", "A 11018-2022")</f>
        <v/>
      </c>
      <c r="Y34">
        <f>HYPERLINK("https://klasma.github.io/Logging_1860/klagomål/A 11018-2022 FSC-klagomål.docx", "A 11018-2022")</f>
        <v/>
      </c>
      <c r="Z34">
        <f>HYPERLINK("https://klasma.github.io/Logging_1860/klagomålsmail/A 11018-2022 FSC-klagomål mail.docx", "A 11018-2022")</f>
        <v/>
      </c>
      <c r="AA34">
        <f>HYPERLINK("https://klasma.github.io/Logging_1860/tillsyn/A 11018-2022 tillsynsbegäran.docx", "A 11018-2022")</f>
        <v/>
      </c>
      <c r="AB34">
        <f>HYPERLINK("https://klasma.github.io/Logging_1860/tillsynsmail/A 11018-2022 tillsynsbegäran mail.docx", "A 11018-2022")</f>
        <v/>
      </c>
      <c r="AC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46217</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40430-2024</t>
        </is>
      </c>
      <c r="B36" t="inlineStr">
        <is>
          <t>avverkningsanmälan</t>
        </is>
      </c>
      <c r="C36" t="inlineStr">
        <is>
          <t>Föryngringsavverkning</t>
        </is>
      </c>
      <c r="D36" s="1" t="n">
        <v>45555</v>
      </c>
      <c r="E36" s="1" t="n">
        <v>46217</v>
      </c>
      <c r="F36" t="inlineStr">
        <is>
          <t>ÖREBRO LÄN</t>
        </is>
      </c>
      <c r="G36" t="inlineStr">
        <is>
          <t>LAXÅ</t>
        </is>
      </c>
      <c r="H36" t="inlineStr">
        <is>
          <t>Sveaskog</t>
        </is>
      </c>
      <c r="I36" t="n">
        <v>1.5</v>
      </c>
      <c r="J36" t="n">
        <v>1</v>
      </c>
      <c r="K36" t="n">
        <v>0</v>
      </c>
      <c r="L36" t="n">
        <v>0</v>
      </c>
      <c r="M36" t="n">
        <v>0</v>
      </c>
      <c r="N36" t="n">
        <v>0</v>
      </c>
      <c r="O36" t="n">
        <v>0</v>
      </c>
      <c r="P36" t="n">
        <v>0</v>
      </c>
      <c r="Q36" t="n">
        <v>0</v>
      </c>
      <c r="R36" t="n">
        <v>0</v>
      </c>
      <c r="S36" t="n">
        <v>1</v>
      </c>
      <c r="T36" t="n">
        <v>1</v>
      </c>
      <c r="U36" s="2" t="inlineStr">
        <is>
          <t>Hårklomossa</t>
        </is>
      </c>
      <c r="V36">
        <f>HYPERLINK("https://klasma.github.io/Logging_1860/artfynd/A 40430-2024 artfynd.xlsx", "A 40430-2024")</f>
        <v/>
      </c>
      <c r="W36">
        <f>HYPERLINK("https://klasma.github.io/Logging_1860/kartor/A 40430-2024 karta.png", "A 40430-2024")</f>
        <v/>
      </c>
      <c r="Y36">
        <f>HYPERLINK("https://klasma.github.io/Logging_1860/klagomål/A 40430-2024 FSC-klagomål.docx", "A 40430-2024")</f>
        <v/>
      </c>
      <c r="Z36">
        <f>HYPERLINK("https://klasma.github.io/Logging_1860/klagomålsmail/A 40430-2024 FSC-klagomål mail.docx", "A 40430-2024")</f>
        <v/>
      </c>
      <c r="AA36">
        <f>HYPERLINK("https://klasma.github.io/Logging_1860/tillsyn/A 40430-2024 tillsynsbegäran.docx", "A 40430-2024")</f>
        <v/>
      </c>
      <c r="AB36">
        <f>HYPERLINK("https://klasma.github.io/Logging_1860/tillsynsmail/A 40430-2024 tillsynsbegäran mail.docx", "A 40430-2024")</f>
        <v/>
      </c>
    </row>
    <row r="37" ht="15" customHeight="1">
      <c r="A37" t="inlineStr">
        <is>
          <t>A 18837-2025</t>
        </is>
      </c>
      <c r="B37" t="inlineStr">
        <is>
          <t>avverkningsanmälan</t>
        </is>
      </c>
      <c r="C37" t="inlineStr">
        <is>
          <t>Föryngringsavverkning</t>
        </is>
      </c>
      <c r="D37" s="1" t="n">
        <v>45764</v>
      </c>
      <c r="E37" s="1" t="n">
        <v>46217</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s="2" t="inlineStr">
        <is>
          <t>Kambräken</t>
        </is>
      </c>
      <c r="V37">
        <f>HYPERLINK("https://klasma.github.io/Logging_1860/artfynd/A 18837-2025 artfynd.xlsx", "A 18837-2025")</f>
        <v/>
      </c>
      <c r="W37">
        <f>HYPERLINK("https://klasma.github.io/Logging_1860/kartor/A 18837-2025 karta.png", "A 18837-2025")</f>
        <v/>
      </c>
      <c r="Y37">
        <f>HYPERLINK("https://klasma.github.io/Logging_1860/klagomål/A 18837-2025 FSC-klagomål.docx", "A 18837-2025")</f>
        <v/>
      </c>
      <c r="Z37">
        <f>HYPERLINK("https://klasma.github.io/Logging_1860/klagomålsmail/A 18837-2025 FSC-klagomål mail.docx", "A 18837-2025")</f>
        <v/>
      </c>
      <c r="AA37">
        <f>HYPERLINK("https://klasma.github.io/Logging_1860/tillsyn/A 18837-2025 tillsynsbegäran.docx", "A 18837-2025")</f>
        <v/>
      </c>
      <c r="AB37">
        <f>HYPERLINK("https://klasma.github.io/Logging_1860/tillsynsmail/A 18837-2025 tillsynsbegäran mail.docx", "A 18837-2025")</f>
        <v/>
      </c>
    </row>
    <row r="38" ht="15" customHeight="1">
      <c r="A38" t="inlineStr">
        <is>
          <t>A 10622-2023</t>
        </is>
      </c>
      <c r="B38" t="inlineStr">
        <is>
          <t>avverkningsanmälan</t>
        </is>
      </c>
      <c r="C38" t="inlineStr">
        <is>
          <t>Föryngringsavverkning</t>
        </is>
      </c>
      <c r="D38" s="1" t="n">
        <v>44988</v>
      </c>
      <c r="E38" s="1" t="n">
        <v>46217</v>
      </c>
      <c r="F38" t="inlineStr">
        <is>
          <t>ÖREBRO LÄN</t>
        </is>
      </c>
      <c r="G38" t="inlineStr">
        <is>
          <t>LAXÅ</t>
        </is>
      </c>
      <c r="H38" t="inlineStr">
        <is>
          <t>Sveaskog</t>
        </is>
      </c>
      <c r="I38" t="n">
        <v>1.7</v>
      </c>
      <c r="J38" t="n">
        <v>0</v>
      </c>
      <c r="K38" t="n">
        <v>0</v>
      </c>
      <c r="L38" t="n">
        <v>1</v>
      </c>
      <c r="M38" t="n">
        <v>0</v>
      </c>
      <c r="N38" t="n">
        <v>0</v>
      </c>
      <c r="O38" t="n">
        <v>0</v>
      </c>
      <c r="P38" t="n">
        <v>0</v>
      </c>
      <c r="Q38" t="n">
        <v>1</v>
      </c>
      <c r="R38" t="n">
        <v>0</v>
      </c>
      <c r="S38" t="n">
        <v>1</v>
      </c>
      <c r="T38" t="n">
        <v>1</v>
      </c>
      <c r="U38" s="2" t="inlineStr">
        <is>
          <t>Gullklöver</t>
        </is>
      </c>
      <c r="V38">
        <f>HYPERLINK("https://klasma.github.io/Logging_1860/artfynd/A 10622-2023 artfynd.xlsx", "A 10622-2023")</f>
        <v/>
      </c>
      <c r="W38">
        <f>HYPERLINK("https://klasma.github.io/Logging_1860/kartor/A 10622-2023 karta.png", "A 10622-2023")</f>
        <v/>
      </c>
      <c r="Y38">
        <f>HYPERLINK("https://klasma.github.io/Logging_1860/klagomål/A 10622-2023 FSC-klagomål.docx", "A 10622-2023")</f>
        <v/>
      </c>
      <c r="Z38">
        <f>HYPERLINK("https://klasma.github.io/Logging_1860/klagomålsmail/A 10622-2023 FSC-klagomål mail.docx", "A 10622-2023")</f>
        <v/>
      </c>
      <c r="AA38">
        <f>HYPERLINK("https://klasma.github.io/Logging_1860/tillsyn/A 10622-2023 tillsynsbegäran.docx", "A 10622-2023")</f>
        <v/>
      </c>
      <c r="AB38">
        <f>HYPERLINK("https://klasma.github.io/Logging_1860/tillsynsmail/A 10622-2023 tillsynsbegäran mail.docx", "A 10622-2023")</f>
        <v/>
      </c>
    </row>
    <row r="39" ht="15" customHeight="1">
      <c r="A39" t="inlineStr">
        <is>
          <t>A 42326-2023</t>
        </is>
      </c>
      <c r="B39" t="inlineStr">
        <is>
          <t>avverkningsanmälan</t>
        </is>
      </c>
      <c r="C39" t="inlineStr">
        <is>
          <t>Avverkning för att bevara och utveckla /försöksver</t>
        </is>
      </c>
      <c r="D39" s="1" t="n">
        <v>45180</v>
      </c>
      <c r="E39" s="1" t="n">
        <v>46217</v>
      </c>
      <c r="F39" t="inlineStr">
        <is>
          <t>ÖREBRO LÄN</t>
        </is>
      </c>
      <c r="G39" t="inlineStr">
        <is>
          <t>LAXÅ</t>
        </is>
      </c>
      <c r="H39" t="inlineStr">
        <is>
          <t>Sveaskog</t>
        </is>
      </c>
      <c r="I39" t="n">
        <v>1</v>
      </c>
      <c r="J39" t="n">
        <v>1</v>
      </c>
      <c r="K39" t="n">
        <v>0</v>
      </c>
      <c r="L39" t="n">
        <v>0</v>
      </c>
      <c r="M39" t="n">
        <v>0</v>
      </c>
      <c r="N39" t="n">
        <v>0</v>
      </c>
      <c r="O39" t="n">
        <v>0</v>
      </c>
      <c r="P39" t="n">
        <v>0</v>
      </c>
      <c r="Q39" t="n">
        <v>0</v>
      </c>
      <c r="R39" t="n">
        <v>0</v>
      </c>
      <c r="S39" t="n">
        <v>1</v>
      </c>
      <c r="T39" t="n">
        <v>1</v>
      </c>
      <c r="U39" s="2" t="inlineStr">
        <is>
          <t>Blåsippa</t>
        </is>
      </c>
      <c r="V39">
        <f>HYPERLINK("https://klasma.github.io/Logging_1860/artfynd/A 42326-2023 artfynd.xlsx", "A 42326-2023")</f>
        <v/>
      </c>
      <c r="W39">
        <f>HYPERLINK("https://klasma.github.io/Logging_1860/kartor/A 42326-2023 karta.png", "A 42326-2023")</f>
        <v/>
      </c>
      <c r="Y39">
        <f>HYPERLINK("https://klasma.github.io/Logging_1860/klagomål/A 42326-2023 FSC-klagomål.docx", "A 42326-2023")</f>
        <v/>
      </c>
      <c r="Z39">
        <f>HYPERLINK("https://klasma.github.io/Logging_1860/klagomålsmail/A 42326-2023 FSC-klagomål mail.docx", "A 42326-2023")</f>
        <v/>
      </c>
      <c r="AA39">
        <f>HYPERLINK("https://klasma.github.io/Logging_1860/tillsyn/A 42326-2023 tillsynsbegäran.docx", "A 42326-2023")</f>
        <v/>
      </c>
      <c r="AB39">
        <f>HYPERLINK("https://klasma.github.io/Logging_1860/tillsynsmail/A 42326-2023 tillsynsbegäran mail.docx", "A 42326-2023")</f>
        <v/>
      </c>
    </row>
    <row r="40" ht="15" customHeight="1">
      <c r="A40" t="inlineStr">
        <is>
          <t>A 55120-2025</t>
        </is>
      </c>
      <c r="B40" t="inlineStr">
        <is>
          <t>avverkningsanmälan</t>
        </is>
      </c>
      <c r="C40" t="inlineStr">
        <is>
          <t>Föryngringsavverkning</t>
        </is>
      </c>
      <c r="D40" s="1" t="n">
        <v>45968</v>
      </c>
      <c r="E40" s="1" t="n">
        <v>46217</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Y40">
        <f>HYPERLINK("https://klasma.github.io/Logging_1860/klagomål/A 55120-2025 FSC-klagomål.docx", "A 55120-2025")</f>
        <v/>
      </c>
      <c r="Z40">
        <f>HYPERLINK("https://klasma.github.io/Logging_1860/klagomålsmail/A 55120-2025 FSC-klagomål mail.docx", "A 55120-2025")</f>
        <v/>
      </c>
      <c r="AA40">
        <f>HYPERLINK("https://klasma.github.io/Logging_1860/tillsyn/A 55120-2025 tillsynsbegäran.docx", "A 55120-2025")</f>
        <v/>
      </c>
      <c r="AB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46217</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Y41">
        <f>HYPERLINK("https://klasma.github.io/Logging_1860/klagomål/A 57423-2025 FSC-klagomål.docx", "A 57423-2025")</f>
        <v/>
      </c>
      <c r="Z41">
        <f>HYPERLINK("https://klasma.github.io/Logging_1860/klagomålsmail/A 57423-2025 FSC-klagomål mail.docx", "A 57423-2025")</f>
        <v/>
      </c>
      <c r="AA41">
        <f>HYPERLINK("https://klasma.github.io/Logging_1860/tillsyn/A 57423-2025 tillsynsbegäran.docx", "A 57423-2025")</f>
        <v/>
      </c>
      <c r="AB41">
        <f>HYPERLINK("https://klasma.github.io/Logging_1860/tillsynsmail/A 57423-2025 tillsynsbegäran mail.docx", "A 57423-2025")</f>
        <v/>
      </c>
    </row>
    <row r="42" ht="15" customHeight="1">
      <c r="A42" t="inlineStr">
        <is>
          <t>A 54713-2023</t>
        </is>
      </c>
      <c r="B42" t="inlineStr">
        <is>
          <t>avverkningsanmälan</t>
        </is>
      </c>
      <c r="C42" t="inlineStr">
        <is>
          <t>Föryngringsavverkning</t>
        </is>
      </c>
      <c r="D42" s="1" t="n">
        <v>45236</v>
      </c>
      <c r="E42" s="1" t="n">
        <v>46217</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s="2" t="inlineStr">
        <is>
          <t>Tretåig hackspett</t>
        </is>
      </c>
      <c r="V42">
        <f>HYPERLINK("https://klasma.github.io/Logging_1860/artfynd/A 54713-2023 artfynd.xlsx", "A 54713-2023")</f>
        <v/>
      </c>
      <c r="W42">
        <f>HYPERLINK("https://klasma.github.io/Logging_1860/kartor/A 54713-2023 karta.png", "A 54713-2023")</f>
        <v/>
      </c>
      <c r="Y42">
        <f>HYPERLINK("https://klasma.github.io/Logging_1860/klagomål/A 54713-2023 FSC-klagomål.docx", "A 54713-2023")</f>
        <v/>
      </c>
      <c r="Z42">
        <f>HYPERLINK("https://klasma.github.io/Logging_1860/klagomålsmail/A 54713-2023 FSC-klagomål mail.docx", "A 54713-2023")</f>
        <v/>
      </c>
      <c r="AA42">
        <f>HYPERLINK("https://klasma.github.io/Logging_1860/tillsyn/A 54713-2023 tillsynsbegäran.docx", "A 54713-2023")</f>
        <v/>
      </c>
      <c r="AB42">
        <f>HYPERLINK("https://klasma.github.io/Logging_1860/tillsynsmail/A 54713-2023 tillsynsbegäran mail.docx", "A 54713-2023")</f>
        <v/>
      </c>
      <c r="AC42">
        <f>HYPERLINK("https://klasma.github.io/Logging_1860/fåglar/A 54713-2023 prioriterade fågelarter.docx", "A 54713-2023")</f>
        <v/>
      </c>
    </row>
    <row r="43" ht="15" customHeight="1">
      <c r="A43" t="inlineStr">
        <is>
          <t>A 42324-2023</t>
        </is>
      </c>
      <c r="B43" t="inlineStr">
        <is>
          <t>avverkningsanmälan</t>
        </is>
      </c>
      <c r="C43" t="inlineStr">
        <is>
          <t>Avverkning för att bevara och utveckla /försöksver</t>
        </is>
      </c>
      <c r="D43" s="1" t="n">
        <v>45180</v>
      </c>
      <c r="E43" s="1" t="n">
        <v>46217</v>
      </c>
      <c r="F43" t="inlineStr">
        <is>
          <t>ÖREBRO LÄN</t>
        </is>
      </c>
      <c r="G43" t="inlineStr">
        <is>
          <t>LAXÅ</t>
        </is>
      </c>
      <c r="H43" t="inlineStr">
        <is>
          <t>Sveaskog</t>
        </is>
      </c>
      <c r="I43" t="n">
        <v>2.2</v>
      </c>
      <c r="J43" t="n">
        <v>1</v>
      </c>
      <c r="K43" t="n">
        <v>0</v>
      </c>
      <c r="L43" t="n">
        <v>0</v>
      </c>
      <c r="M43" t="n">
        <v>0</v>
      </c>
      <c r="N43" t="n">
        <v>0</v>
      </c>
      <c r="O43" t="n">
        <v>0</v>
      </c>
      <c r="P43" t="n">
        <v>0</v>
      </c>
      <c r="Q43" t="n">
        <v>0</v>
      </c>
      <c r="R43" t="n">
        <v>0</v>
      </c>
      <c r="S43" t="n">
        <v>1</v>
      </c>
      <c r="T43" t="n">
        <v>1</v>
      </c>
      <c r="U43" s="2" t="inlineStr">
        <is>
          <t>Blåsippa</t>
        </is>
      </c>
      <c r="V43">
        <f>HYPERLINK("https://klasma.github.io/Logging_1860/artfynd/A 42324-2023 artfynd.xlsx", "A 42324-2023")</f>
        <v/>
      </c>
      <c r="W43">
        <f>HYPERLINK("https://klasma.github.io/Logging_1860/kartor/A 42324-2023 karta.png", "A 42324-2023")</f>
        <v/>
      </c>
      <c r="Y43">
        <f>HYPERLINK("https://klasma.github.io/Logging_1860/klagomål/A 42324-2023 FSC-klagomål.docx", "A 42324-2023")</f>
        <v/>
      </c>
      <c r="Z43">
        <f>HYPERLINK("https://klasma.github.io/Logging_1860/klagomålsmail/A 42324-2023 FSC-klagomål mail.docx", "A 42324-2023")</f>
        <v/>
      </c>
      <c r="AA43">
        <f>HYPERLINK("https://klasma.github.io/Logging_1860/tillsyn/A 42324-2023 tillsynsbegäran.docx", "A 42324-2023")</f>
        <v/>
      </c>
      <c r="AB43">
        <f>HYPERLINK("https://klasma.github.io/Logging_1860/tillsynsmail/A 42324-2023 tillsynsbegäran mail.docx", "A 42324-2023")</f>
        <v/>
      </c>
    </row>
    <row r="44" ht="15" customHeight="1">
      <c r="A44" t="inlineStr">
        <is>
          <t>A 56022-2025</t>
        </is>
      </c>
      <c r="B44" t="inlineStr">
        <is>
          <t>avverkningsanmälan</t>
        </is>
      </c>
      <c r="C44" t="inlineStr">
        <is>
          <t>Föryngringsavverkning</t>
        </is>
      </c>
      <c r="D44" s="1" t="n">
        <v>45973</v>
      </c>
      <c r="E44" s="1" t="n">
        <v>46217</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s="2" t="inlineStr">
        <is>
          <t>Spillkråka</t>
        </is>
      </c>
      <c r="V44">
        <f>HYPERLINK("https://klasma.github.io/Logging_1860/artfynd/A 56022-2025 artfynd.xlsx", "A 56022-2025")</f>
        <v/>
      </c>
      <c r="W44">
        <f>HYPERLINK("https://klasma.github.io/Logging_1860/kartor/A 56022-2025 karta.png", "A 56022-2025")</f>
        <v/>
      </c>
      <c r="Y44">
        <f>HYPERLINK("https://klasma.github.io/Logging_1860/klagomål/A 56022-2025 FSC-klagomål.docx", "A 56022-2025")</f>
        <v/>
      </c>
      <c r="Z44">
        <f>HYPERLINK("https://klasma.github.io/Logging_1860/klagomålsmail/A 56022-2025 FSC-klagomål mail.docx", "A 56022-2025")</f>
        <v/>
      </c>
      <c r="AA44">
        <f>HYPERLINK("https://klasma.github.io/Logging_1860/tillsyn/A 56022-2025 tillsynsbegäran.docx", "A 56022-2025")</f>
        <v/>
      </c>
      <c r="AB44">
        <f>HYPERLINK("https://klasma.github.io/Logging_1860/tillsynsmail/A 56022-2025 tillsynsbegäran mail.docx", "A 56022-2025")</f>
        <v/>
      </c>
      <c r="AC44">
        <f>HYPERLINK("https://klasma.github.io/Logging_1860/fåglar/A 56022-2025 prioriterade fågelarter.docx", "A 56022-2025")</f>
        <v/>
      </c>
    </row>
    <row r="45" ht="15" customHeight="1">
      <c r="A45" t="inlineStr">
        <is>
          <t>A 35540-2023</t>
        </is>
      </c>
      <c r="B45" t="inlineStr">
        <is>
          <t>avverkningsanmälan</t>
        </is>
      </c>
      <c r="C45" t="inlineStr">
        <is>
          <t>Föryngringsavverkning</t>
        </is>
      </c>
      <c r="D45" s="1" t="n">
        <v>45147</v>
      </c>
      <c r="E45" s="1" t="n">
        <v>46217</v>
      </c>
      <c r="F45" t="inlineStr">
        <is>
          <t>ÖREBRO LÄN</t>
        </is>
      </c>
      <c r="G45" t="inlineStr">
        <is>
          <t>LAXÅ</t>
        </is>
      </c>
      <c r="I45" t="n">
        <v>6.4</v>
      </c>
      <c r="J45" t="n">
        <v>0</v>
      </c>
      <c r="K45" t="n">
        <v>1</v>
      </c>
      <c r="L45" t="n">
        <v>0</v>
      </c>
      <c r="M45" t="n">
        <v>0</v>
      </c>
      <c r="N45" t="n">
        <v>0</v>
      </c>
      <c r="O45" t="n">
        <v>0</v>
      </c>
      <c r="P45" t="n">
        <v>0</v>
      </c>
      <c r="Q45" t="n">
        <v>0</v>
      </c>
      <c r="R45" t="n">
        <v>0</v>
      </c>
      <c r="S45" t="n">
        <v>1</v>
      </c>
      <c r="T45" t="n">
        <v>2</v>
      </c>
      <c r="U45" s="2" t="inlineStr">
        <is>
          <t>Vedticka</t>
        </is>
      </c>
      <c r="V45">
        <f>HYPERLINK("https://klasma.github.io/Logging_1860/artfynd/A 35540-2023 artfynd.xlsx", "A 35540-2023")</f>
        <v/>
      </c>
      <c r="W45">
        <f>HYPERLINK("https://klasma.github.io/Logging_1860/kartor/A 35540-2023 karta.png", "A 35540-2023")</f>
        <v/>
      </c>
      <c r="Y45">
        <f>HYPERLINK("https://klasma.github.io/Logging_1860/klagomål/A 35540-2023 FSC-klagomål.docx", "A 35540-2023")</f>
        <v/>
      </c>
      <c r="Z45">
        <f>HYPERLINK("https://klasma.github.io/Logging_1860/klagomålsmail/A 35540-2023 FSC-klagomål mail.docx", "A 35540-2023")</f>
        <v/>
      </c>
      <c r="AA45">
        <f>HYPERLINK("https://klasma.github.io/Logging_1860/tillsyn/A 35540-2023 tillsynsbegäran.docx", "A 35540-2023")</f>
        <v/>
      </c>
      <c r="AB45">
        <f>HYPERLINK("https://klasma.github.io/Logging_1860/tillsynsmail/A 35540-2023 tillsynsbegäran mail.docx", "A 35540-2023")</f>
        <v/>
      </c>
    </row>
    <row r="46" ht="15" customHeight="1">
      <c r="A46" t="inlineStr">
        <is>
          <t>A 43675-2024</t>
        </is>
      </c>
      <c r="B46" t="inlineStr">
        <is>
          <t>avverkningsanmälan</t>
        </is>
      </c>
      <c r="C46" t="inlineStr">
        <is>
          <t>Föryngringsavverkning</t>
        </is>
      </c>
      <c r="D46" s="1" t="n">
        <v>45569</v>
      </c>
      <c r="E46" s="1" t="n">
        <v>46217</v>
      </c>
      <c r="F46" t="inlineStr">
        <is>
          <t>ÖREBRO LÄN</t>
        </is>
      </c>
      <c r="G46" t="inlineStr">
        <is>
          <t>LAXÅ</t>
        </is>
      </c>
      <c r="H46" t="inlineStr">
        <is>
          <t>Sveaskog</t>
        </is>
      </c>
      <c r="I46" t="n">
        <v>1.6</v>
      </c>
      <c r="J46" t="n">
        <v>1</v>
      </c>
      <c r="K46" t="n">
        <v>0</v>
      </c>
      <c r="L46" t="n">
        <v>0</v>
      </c>
      <c r="M46" t="n">
        <v>0</v>
      </c>
      <c r="N46" t="n">
        <v>0</v>
      </c>
      <c r="O46" t="n">
        <v>0</v>
      </c>
      <c r="P46" t="n">
        <v>0</v>
      </c>
      <c r="Q46" t="n">
        <v>0</v>
      </c>
      <c r="R46" t="n">
        <v>0</v>
      </c>
      <c r="S46" t="n">
        <v>1</v>
      </c>
      <c r="T46" t="n">
        <v>1</v>
      </c>
      <c r="U46" s="2" t="inlineStr">
        <is>
          <t>Tjäder</t>
        </is>
      </c>
      <c r="V46">
        <f>HYPERLINK("https://klasma.github.io/Logging_1860/artfynd/A 43675-2024 artfynd.xlsx", "A 43675-2024")</f>
        <v/>
      </c>
      <c r="W46">
        <f>HYPERLINK("https://klasma.github.io/Logging_1860/kartor/A 43675-2024 karta.png", "A 43675-2024")</f>
        <v/>
      </c>
      <c r="Y46">
        <f>HYPERLINK("https://klasma.github.io/Logging_1860/klagomål/A 43675-2024 FSC-klagomål.docx", "A 43675-2024")</f>
        <v/>
      </c>
      <c r="Z46">
        <f>HYPERLINK("https://klasma.github.io/Logging_1860/klagomålsmail/A 43675-2024 FSC-klagomål mail.docx", "A 43675-2024")</f>
        <v/>
      </c>
      <c r="AA46">
        <f>HYPERLINK("https://klasma.github.io/Logging_1860/tillsyn/A 43675-2024 tillsynsbegäran.docx", "A 43675-2024")</f>
        <v/>
      </c>
      <c r="AB46">
        <f>HYPERLINK("https://klasma.github.io/Logging_1860/tillsynsmail/A 43675-2024 tillsynsbegäran mail.docx", "A 43675-2024")</f>
        <v/>
      </c>
      <c r="AC46">
        <f>HYPERLINK("https://klasma.github.io/Logging_1860/fåglar/A 43675-2024 prioriterade fågelarter.docx", "A 43675-2024")</f>
        <v/>
      </c>
    </row>
    <row r="47" ht="15" customHeight="1">
      <c r="A47" t="inlineStr">
        <is>
          <t>A 59657-2022</t>
        </is>
      </c>
      <c r="B47" t="inlineStr">
        <is>
          <t>avverkningsanmälan</t>
        </is>
      </c>
      <c r="C47" t="inlineStr">
        <is>
          <t>Föryngringsavverkning</t>
        </is>
      </c>
      <c r="D47" s="1" t="n">
        <v>44908</v>
      </c>
      <c r="E47" s="1" t="n">
        <v>46217</v>
      </c>
      <c r="F47" t="inlineStr">
        <is>
          <t>ÖREBRO LÄN</t>
        </is>
      </c>
      <c r="G47" t="inlineStr">
        <is>
          <t>LAXÅ</t>
        </is>
      </c>
      <c r="I47" t="n">
        <v>3.3</v>
      </c>
      <c r="J47" t="n">
        <v>0</v>
      </c>
      <c r="K47" t="n">
        <v>0</v>
      </c>
      <c r="L47" t="n">
        <v>1</v>
      </c>
      <c r="M47" t="n">
        <v>0</v>
      </c>
      <c r="N47" t="n">
        <v>0</v>
      </c>
      <c r="O47" t="n">
        <v>0</v>
      </c>
      <c r="P47" t="n">
        <v>0</v>
      </c>
      <c r="Q47" t="n">
        <v>1</v>
      </c>
      <c r="R47" t="n">
        <v>0</v>
      </c>
      <c r="S47" t="n">
        <v>1</v>
      </c>
      <c r="T47" t="n">
        <v>1</v>
      </c>
      <c r="U47" s="2" t="inlineStr">
        <is>
          <t>Svinrot</t>
        </is>
      </c>
      <c r="V47">
        <f>HYPERLINK("https://klasma.github.io/Logging_1860/artfynd/A 59657-2022 artfynd.xlsx", "A 59657-2022")</f>
        <v/>
      </c>
      <c r="W47">
        <f>HYPERLINK("https://klasma.github.io/Logging_1860/kartor/A 59657-2022 karta.png", "A 59657-2022")</f>
        <v/>
      </c>
      <c r="Y47">
        <f>HYPERLINK("https://klasma.github.io/Logging_1860/klagomål/A 59657-2022 FSC-klagomål.docx", "A 59657-2022")</f>
        <v/>
      </c>
      <c r="Z47">
        <f>HYPERLINK("https://klasma.github.io/Logging_1860/klagomålsmail/A 59657-2022 FSC-klagomål mail.docx", "A 59657-2022")</f>
        <v/>
      </c>
      <c r="AA47">
        <f>HYPERLINK("https://klasma.github.io/Logging_1860/tillsyn/A 59657-2022 tillsynsbegäran.docx", "A 59657-2022")</f>
        <v/>
      </c>
      <c r="AB47">
        <f>HYPERLINK("https://klasma.github.io/Logging_1860/tillsynsmail/A 59657-2022 tillsynsbegäran mail.docx", "A 59657-2022")</f>
        <v/>
      </c>
    </row>
    <row r="48" ht="15" customHeight="1">
      <c r="A48" t="inlineStr">
        <is>
          <t>A 60949-2023</t>
        </is>
      </c>
      <c r="B48" t="inlineStr">
        <is>
          <t>avverkningsanmälan</t>
        </is>
      </c>
      <c r="C48" t="inlineStr">
        <is>
          <t>Föryngringsavverkning</t>
        </is>
      </c>
      <c r="D48" s="1" t="n">
        <v>45259</v>
      </c>
      <c r="E48" s="1" t="n">
        <v>46217</v>
      </c>
      <c r="F48" t="inlineStr">
        <is>
          <t>ÖREBRO LÄN</t>
        </is>
      </c>
      <c r="G48" t="inlineStr">
        <is>
          <t>LAXÅ</t>
        </is>
      </c>
      <c r="I48" t="n">
        <v>4.7</v>
      </c>
      <c r="J48" t="n">
        <v>1</v>
      </c>
      <c r="K48" t="n">
        <v>0</v>
      </c>
      <c r="L48" t="n">
        <v>0</v>
      </c>
      <c r="M48" t="n">
        <v>0</v>
      </c>
      <c r="N48" t="n">
        <v>0</v>
      </c>
      <c r="O48" t="n">
        <v>0</v>
      </c>
      <c r="P48" t="n">
        <v>0</v>
      </c>
      <c r="Q48" t="n">
        <v>0</v>
      </c>
      <c r="R48" t="n">
        <v>0</v>
      </c>
      <c r="S48" t="n">
        <v>1</v>
      </c>
      <c r="T48" t="n">
        <v>1</v>
      </c>
      <c r="U48" s="2" t="inlineStr">
        <is>
          <t>Revlummer</t>
        </is>
      </c>
      <c r="V48">
        <f>HYPERLINK("https://klasma.github.io/Logging_1860/artfynd/A 60949-2023 artfynd.xlsx", "A 60949-2023")</f>
        <v/>
      </c>
      <c r="W48">
        <f>HYPERLINK("https://klasma.github.io/Logging_1860/kartor/A 60949-2023 karta.png", "A 60949-2023")</f>
        <v/>
      </c>
      <c r="Y48">
        <f>HYPERLINK("https://klasma.github.io/Logging_1860/klagomål/A 60949-2023 FSC-klagomål.docx", "A 60949-2023")</f>
        <v/>
      </c>
      <c r="Z48">
        <f>HYPERLINK("https://klasma.github.io/Logging_1860/klagomålsmail/A 60949-2023 FSC-klagomål mail.docx", "A 60949-2023")</f>
        <v/>
      </c>
      <c r="AA48">
        <f>HYPERLINK("https://klasma.github.io/Logging_1860/tillsyn/A 60949-2023 tillsynsbegäran.docx", "A 60949-2023")</f>
        <v/>
      </c>
      <c r="AB48">
        <f>HYPERLINK("https://klasma.github.io/Logging_1860/tillsynsmail/A 60949-2023 tillsynsbegäran mail.docx", "A 60949-2023")</f>
        <v/>
      </c>
    </row>
    <row r="49" ht="15" customHeight="1">
      <c r="A49" t="inlineStr">
        <is>
          <t>A 34371-2025</t>
        </is>
      </c>
      <c r="B49" t="inlineStr">
        <is>
          <t>avverkningsanmälan</t>
        </is>
      </c>
      <c r="C49" t="inlineStr">
        <is>
          <t>Föryngringsavverkning</t>
        </is>
      </c>
      <c r="D49" s="1" t="n">
        <v>45846</v>
      </c>
      <c r="E49" s="1" t="n">
        <v>46217</v>
      </c>
      <c r="F49" t="inlineStr">
        <is>
          <t>ÖREBRO LÄN</t>
        </is>
      </c>
      <c r="G49" t="inlineStr">
        <is>
          <t>LAXÅ</t>
        </is>
      </c>
      <c r="H49" t="inlineStr">
        <is>
          <t>Allmännings- och besparingsskogar</t>
        </is>
      </c>
      <c r="I49" t="n">
        <v>7.8</v>
      </c>
      <c r="J49" t="n">
        <v>0</v>
      </c>
      <c r="K49" t="n">
        <v>0</v>
      </c>
      <c r="L49" t="n">
        <v>1</v>
      </c>
      <c r="M49" t="n">
        <v>0</v>
      </c>
      <c r="N49" t="n">
        <v>0</v>
      </c>
      <c r="O49" t="n">
        <v>0</v>
      </c>
      <c r="P49" t="n">
        <v>0</v>
      </c>
      <c r="Q49" t="n">
        <v>1</v>
      </c>
      <c r="R49" t="n">
        <v>0</v>
      </c>
      <c r="S49" t="n">
        <v>1</v>
      </c>
      <c r="T49" t="n">
        <v>2</v>
      </c>
      <c r="U49" s="2" t="inlineStr">
        <is>
          <t>Vedtrappmossa</t>
        </is>
      </c>
      <c r="V49">
        <f>HYPERLINK("https://klasma.github.io/Logging_1860/artfynd/A 34371-2025 artfynd.xlsx", "A 34371-2025")</f>
        <v/>
      </c>
      <c r="W49">
        <f>HYPERLINK("https://klasma.github.io/Logging_1860/kartor/A 34371-2025 karta.png", "A 34371-2025")</f>
        <v/>
      </c>
      <c r="Y49">
        <f>HYPERLINK("https://klasma.github.io/Logging_1860/klagomål/A 34371-2025 FSC-klagomål.docx", "A 34371-2025")</f>
        <v/>
      </c>
      <c r="Z49">
        <f>HYPERLINK("https://klasma.github.io/Logging_1860/klagomålsmail/A 34371-2025 FSC-klagomål mail.docx", "A 34371-2025")</f>
        <v/>
      </c>
      <c r="AA49">
        <f>HYPERLINK("https://klasma.github.io/Logging_1860/tillsyn/A 34371-2025 tillsynsbegäran.docx", "A 34371-2025")</f>
        <v/>
      </c>
      <c r="AB49">
        <f>HYPERLINK("https://klasma.github.io/Logging_1860/tillsynsmail/A 34371-2025 tillsynsbegäran mail.docx", "A 34371-2025")</f>
        <v/>
      </c>
    </row>
    <row r="50" ht="15" customHeight="1">
      <c r="A50" t="inlineStr">
        <is>
          <t>A 28524-2022</t>
        </is>
      </c>
      <c r="B50" t="inlineStr">
        <is>
          <t>avverkningsanmälan</t>
        </is>
      </c>
      <c r="C50" t="inlineStr">
        <is>
          <t>Föryngringsavverkning</t>
        </is>
      </c>
      <c r="D50" s="1" t="n">
        <v>44748</v>
      </c>
      <c r="E50" s="1" t="n">
        <v>46217</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s="2" t="inlineStr">
        <is>
          <t>Nattskärra</t>
        </is>
      </c>
      <c r="V50">
        <f>HYPERLINK("https://klasma.github.io/Logging_1860/artfynd/A 28524-2022 artfynd.xlsx", "A 28524-2022")</f>
        <v/>
      </c>
      <c r="W50">
        <f>HYPERLINK("https://klasma.github.io/Logging_1860/kartor/A 28524-2022 karta.png", "A 28524-2022")</f>
        <v/>
      </c>
      <c r="Y50">
        <f>HYPERLINK("https://klasma.github.io/Logging_1860/klagomål/A 28524-2022 FSC-klagomål.docx", "A 28524-2022")</f>
        <v/>
      </c>
      <c r="Z50">
        <f>HYPERLINK("https://klasma.github.io/Logging_1860/klagomålsmail/A 28524-2022 FSC-klagomål mail.docx", "A 28524-2022")</f>
        <v/>
      </c>
      <c r="AA50">
        <f>HYPERLINK("https://klasma.github.io/Logging_1860/tillsyn/A 28524-2022 tillsynsbegäran.docx", "A 28524-2022")</f>
        <v/>
      </c>
      <c r="AB50">
        <f>HYPERLINK("https://klasma.github.io/Logging_1860/tillsynsmail/A 28524-2022 tillsynsbegäran mail.docx", "A 28524-2022")</f>
        <v/>
      </c>
      <c r="AC50">
        <f>HYPERLINK("https://klasma.github.io/Logging_1860/fåglar/A 28524-2022 prioriterade fågelarter.docx", "A 28524-2022")</f>
        <v/>
      </c>
    </row>
    <row r="51" ht="15" customHeight="1">
      <c r="A51" t="inlineStr">
        <is>
          <t>A 40980-2021</t>
        </is>
      </c>
      <c r="B51" t="inlineStr">
        <is>
          <t>avverkningsanmälan</t>
        </is>
      </c>
      <c r="C51" t="inlineStr">
        <is>
          <t>Föryngringsavverkning</t>
        </is>
      </c>
      <c r="D51" s="1" t="n">
        <v>44421</v>
      </c>
      <c r="E51" s="1" t="n">
        <v>46217</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46217</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46217</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46217</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46217</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46217</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46217</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46217</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28119-2022</t>
        </is>
      </c>
      <c r="B59" t="inlineStr">
        <is>
          <t>avverkningsanmälan</t>
        </is>
      </c>
      <c r="C59" t="inlineStr">
        <is>
          <t>Föryngringsavverkning</t>
        </is>
      </c>
      <c r="D59" s="1" t="n">
        <v>44746</v>
      </c>
      <c r="E59" s="1" t="n">
        <v>46217</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s="2" t="inlineStr"/>
    </row>
    <row r="60" ht="15" customHeight="1">
      <c r="A60" t="inlineStr">
        <is>
          <t>A 59907-2021</t>
        </is>
      </c>
      <c r="B60" t="inlineStr">
        <is>
          <t>avverkningsanmälan</t>
        </is>
      </c>
      <c r="C60" t="inlineStr">
        <is>
          <t>Föryngringsavverkning</t>
        </is>
      </c>
      <c r="D60" s="1" t="n">
        <v>44494</v>
      </c>
      <c r="E60" s="1" t="n">
        <v>46217</v>
      </c>
      <c r="F60" t="inlineStr">
        <is>
          <t>ÖREBRO LÄN</t>
        </is>
      </c>
      <c r="G60" t="inlineStr">
        <is>
          <t>LAXÅ</t>
        </is>
      </c>
      <c r="I60" t="n">
        <v>1</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46217</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46217</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46217</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46217</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46217</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46217</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46217</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46217</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46217</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46217</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46217</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46217</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46217</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46217</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46217</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46217</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46217</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46217</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46217</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46217</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46217</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46217</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46217</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53538-2023</t>
        </is>
      </c>
      <c r="B84" t="inlineStr">
        <is>
          <t>avverkningsanmälan</t>
        </is>
      </c>
      <c r="C84" t="inlineStr">
        <is>
          <t>Föryngringsavverkning</t>
        </is>
      </c>
      <c r="D84" s="1" t="n">
        <v>45230</v>
      </c>
      <c r="E84" s="1" t="n">
        <v>46217</v>
      </c>
      <c r="F84" t="inlineStr">
        <is>
          <t>ÖREBRO LÄN</t>
        </is>
      </c>
      <c r="G84" t="inlineStr">
        <is>
          <t>LAXÅ</t>
        </is>
      </c>
      <c r="I84" t="n">
        <v>3</v>
      </c>
      <c r="J84" t="n">
        <v>0</v>
      </c>
      <c r="K84" t="n">
        <v>0</v>
      </c>
      <c r="L84" t="n">
        <v>0</v>
      </c>
      <c r="M84" t="n">
        <v>0</v>
      </c>
      <c r="N84" t="n">
        <v>0</v>
      </c>
      <c r="O84" t="n">
        <v>0</v>
      </c>
      <c r="P84" t="n">
        <v>0</v>
      </c>
      <c r="Q84" t="n">
        <v>0</v>
      </c>
      <c r="R84" t="n">
        <v>0</v>
      </c>
      <c r="S84" t="n">
        <v>0</v>
      </c>
      <c r="T84" t="n">
        <v>0</v>
      </c>
      <c r="U84" s="2" t="inlineStr"/>
    </row>
    <row r="85" ht="15" customHeight="1">
      <c r="A85" t="inlineStr">
        <is>
          <t>A 36928-2021</t>
        </is>
      </c>
      <c r="B85" t="inlineStr">
        <is>
          <t>avverkningsanmälan</t>
        </is>
      </c>
      <c r="C85" t="inlineStr">
        <is>
          <t>Föryngringsavverkning</t>
        </is>
      </c>
      <c r="D85" s="1" t="n">
        <v>44393</v>
      </c>
      <c r="E85" s="1" t="n">
        <v>46217</v>
      </c>
      <c r="F85" t="inlineStr">
        <is>
          <t>ÖREBRO LÄN</t>
        </is>
      </c>
      <c r="G85" t="inlineStr">
        <is>
          <t>LAXÅ</t>
        </is>
      </c>
      <c r="H85" t="inlineStr">
        <is>
          <t>Sveaskog</t>
        </is>
      </c>
      <c r="I85" t="n">
        <v>0.8</v>
      </c>
      <c r="J85" t="n">
        <v>0</v>
      </c>
      <c r="K85" t="n">
        <v>0</v>
      </c>
      <c r="L85" t="n">
        <v>0</v>
      </c>
      <c r="M85" t="n">
        <v>0</v>
      </c>
      <c r="N85" t="n">
        <v>0</v>
      </c>
      <c r="O85" t="n">
        <v>0</v>
      </c>
      <c r="P85" t="n">
        <v>0</v>
      </c>
      <c r="Q85" t="n">
        <v>0</v>
      </c>
      <c r="R85" t="n">
        <v>0</v>
      </c>
      <c r="S85" t="n">
        <v>0</v>
      </c>
      <c r="T85" t="n">
        <v>0</v>
      </c>
      <c r="U85" s="2" t="inlineStr"/>
    </row>
    <row r="86" ht="15" customHeight="1">
      <c r="A86" t="inlineStr">
        <is>
          <t>A 10673-2023</t>
        </is>
      </c>
      <c r="B86" t="inlineStr">
        <is>
          <t>avverkningsanmälan</t>
        </is>
      </c>
      <c r="C86" t="inlineStr">
        <is>
          <t>Föryngringsavverkning</t>
        </is>
      </c>
      <c r="D86" s="1" t="n">
        <v>44988</v>
      </c>
      <c r="E86" s="1" t="n">
        <v>46217</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s="2" t="inlineStr"/>
    </row>
    <row r="87" ht="15" customHeight="1">
      <c r="A87" t="inlineStr">
        <is>
          <t>A 12060-2024</t>
        </is>
      </c>
      <c r="B87" t="inlineStr">
        <is>
          <t>avverkningsanmälan</t>
        </is>
      </c>
      <c r="C87" t="inlineStr">
        <is>
          <t>Föryngringsavverkning</t>
        </is>
      </c>
      <c r="D87" s="1" t="n">
        <v>45377</v>
      </c>
      <c r="E87" s="1" t="n">
        <v>46217</v>
      </c>
      <c r="F87" t="inlineStr">
        <is>
          <t>ÖREBRO LÄN</t>
        </is>
      </c>
      <c r="G87" t="inlineStr">
        <is>
          <t>LAXÅ</t>
        </is>
      </c>
      <c r="H87" t="inlineStr">
        <is>
          <t>Sveaskog</t>
        </is>
      </c>
      <c r="I87" t="n">
        <v>3.3</v>
      </c>
      <c r="J87" t="n">
        <v>0</v>
      </c>
      <c r="K87" t="n">
        <v>0</v>
      </c>
      <c r="L87" t="n">
        <v>0</v>
      </c>
      <c r="M87" t="n">
        <v>0</v>
      </c>
      <c r="N87" t="n">
        <v>0</v>
      </c>
      <c r="O87" t="n">
        <v>0</v>
      </c>
      <c r="P87" t="n">
        <v>0</v>
      </c>
      <c r="Q87" t="n">
        <v>0</v>
      </c>
      <c r="R87" t="n">
        <v>0</v>
      </c>
      <c r="S87" t="n">
        <v>0</v>
      </c>
      <c r="T87" t="n">
        <v>0</v>
      </c>
      <c r="U87" s="2" t="inlineStr"/>
    </row>
    <row r="88" ht="15" customHeight="1">
      <c r="A88" t="inlineStr">
        <is>
          <t>A 12065-2024</t>
        </is>
      </c>
      <c r="B88" t="inlineStr">
        <is>
          <t>avverkningsanmälan</t>
        </is>
      </c>
      <c r="C88" t="inlineStr">
        <is>
          <t>Föryngringsavverkning</t>
        </is>
      </c>
      <c r="D88" s="1" t="n">
        <v>45377</v>
      </c>
      <c r="E88" s="1" t="n">
        <v>46217</v>
      </c>
      <c r="F88" t="inlineStr">
        <is>
          <t>ÖREBRO LÄN</t>
        </is>
      </c>
      <c r="G88" t="inlineStr">
        <is>
          <t>LAXÅ</t>
        </is>
      </c>
      <c r="H88" t="inlineStr">
        <is>
          <t>Sveaskog</t>
        </is>
      </c>
      <c r="I88" t="n">
        <v>4.3</v>
      </c>
      <c r="J88" t="n">
        <v>0</v>
      </c>
      <c r="K88" t="n">
        <v>0</v>
      </c>
      <c r="L88" t="n">
        <v>0</v>
      </c>
      <c r="M88" t="n">
        <v>0</v>
      </c>
      <c r="N88" t="n">
        <v>0</v>
      </c>
      <c r="O88" t="n">
        <v>0</v>
      </c>
      <c r="P88" t="n">
        <v>0</v>
      </c>
      <c r="Q88" t="n">
        <v>0</v>
      </c>
      <c r="R88" t="n">
        <v>0</v>
      </c>
      <c r="S88" t="n">
        <v>0</v>
      </c>
      <c r="T88" t="n">
        <v>0</v>
      </c>
      <c r="U88" s="2" t="inlineStr"/>
    </row>
    <row r="89" ht="15" customHeight="1">
      <c r="A89" t="inlineStr">
        <is>
          <t>A 38547-2022</t>
        </is>
      </c>
      <c r="B89" t="inlineStr">
        <is>
          <t>avverkningsanmälan</t>
        </is>
      </c>
      <c r="C89" t="inlineStr">
        <is>
          <t>Föryngringsavverkning</t>
        </is>
      </c>
      <c r="D89" s="1" t="n">
        <v>44813</v>
      </c>
      <c r="E89" s="1" t="n">
        <v>46217</v>
      </c>
      <c r="F89" t="inlineStr">
        <is>
          <t>ÖREBRO LÄN</t>
        </is>
      </c>
      <c r="G89" t="inlineStr">
        <is>
          <t>LAXÅ</t>
        </is>
      </c>
      <c r="H89" t="inlineStr">
        <is>
          <t>Sveaskog</t>
        </is>
      </c>
      <c r="I89" t="n">
        <v>1.2</v>
      </c>
      <c r="J89" t="n">
        <v>0</v>
      </c>
      <c r="K89" t="n">
        <v>0</v>
      </c>
      <c r="L89" t="n">
        <v>0</v>
      </c>
      <c r="M89" t="n">
        <v>0</v>
      </c>
      <c r="N89" t="n">
        <v>0</v>
      </c>
      <c r="O89" t="n">
        <v>0</v>
      </c>
      <c r="P89" t="n">
        <v>0</v>
      </c>
      <c r="Q89" t="n">
        <v>0</v>
      </c>
      <c r="R89" t="n">
        <v>0</v>
      </c>
      <c r="S89" t="n">
        <v>0</v>
      </c>
      <c r="T89" t="n">
        <v>0</v>
      </c>
      <c r="U89" s="2" t="inlineStr"/>
    </row>
    <row r="90" ht="15" customHeight="1">
      <c r="A90" t="inlineStr">
        <is>
          <t>A 38554-2022</t>
        </is>
      </c>
      <c r="B90" t="inlineStr">
        <is>
          <t>avverkningsanmälan</t>
        </is>
      </c>
      <c r="C90" t="inlineStr">
        <is>
          <t>Föryngringsavverkning</t>
        </is>
      </c>
      <c r="D90" s="1" t="n">
        <v>44813</v>
      </c>
      <c r="E90" s="1" t="n">
        <v>46217</v>
      </c>
      <c r="F90" t="inlineStr">
        <is>
          <t>ÖREBRO LÄN</t>
        </is>
      </c>
      <c r="G90" t="inlineStr">
        <is>
          <t>LAXÅ</t>
        </is>
      </c>
      <c r="H90" t="inlineStr">
        <is>
          <t>Sveaskog</t>
        </is>
      </c>
      <c r="I90" t="n">
        <v>0.9</v>
      </c>
      <c r="J90" t="n">
        <v>0</v>
      </c>
      <c r="K90" t="n">
        <v>0</v>
      </c>
      <c r="L90" t="n">
        <v>0</v>
      </c>
      <c r="M90" t="n">
        <v>0</v>
      </c>
      <c r="N90" t="n">
        <v>0</v>
      </c>
      <c r="O90" t="n">
        <v>0</v>
      </c>
      <c r="P90" t="n">
        <v>0</v>
      </c>
      <c r="Q90" t="n">
        <v>0</v>
      </c>
      <c r="R90" t="n">
        <v>0</v>
      </c>
      <c r="S90" t="n">
        <v>0</v>
      </c>
      <c r="T90" t="n">
        <v>0</v>
      </c>
      <c r="U90" s="2" t="inlineStr"/>
    </row>
    <row r="91" ht="15" customHeight="1">
      <c r="A91" t="inlineStr">
        <is>
          <t>A 19177-2023</t>
        </is>
      </c>
      <c r="B91" t="inlineStr">
        <is>
          <t>avverkningsanmälan</t>
        </is>
      </c>
      <c r="C91" t="inlineStr">
        <is>
          <t>Föryngringsavverkning</t>
        </is>
      </c>
      <c r="D91" s="1" t="n">
        <v>45048</v>
      </c>
      <c r="E91" s="1" t="n">
        <v>46217</v>
      </c>
      <c r="F91" t="inlineStr">
        <is>
          <t>ÖREBRO LÄN</t>
        </is>
      </c>
      <c r="G91" t="inlineStr">
        <is>
          <t>LAXÅ</t>
        </is>
      </c>
      <c r="H91" t="inlineStr">
        <is>
          <t>Sveaskog</t>
        </is>
      </c>
      <c r="I91" t="n">
        <v>2.8</v>
      </c>
      <c r="J91" t="n">
        <v>0</v>
      </c>
      <c r="K91" t="n">
        <v>0</v>
      </c>
      <c r="L91" t="n">
        <v>0</v>
      </c>
      <c r="M91" t="n">
        <v>0</v>
      </c>
      <c r="N91" t="n">
        <v>0</v>
      </c>
      <c r="O91" t="n">
        <v>0</v>
      </c>
      <c r="P91" t="n">
        <v>0</v>
      </c>
      <c r="Q91" t="n">
        <v>0</v>
      </c>
      <c r="R91" t="n">
        <v>0</v>
      </c>
      <c r="S91" t="n">
        <v>0</v>
      </c>
      <c r="T91" t="n">
        <v>0</v>
      </c>
      <c r="U91" s="2" t="inlineStr"/>
    </row>
    <row r="92" ht="15" customHeight="1">
      <c r="A92" t="inlineStr">
        <is>
          <t>A 34594-2022</t>
        </is>
      </c>
      <c r="B92" t="inlineStr">
        <is>
          <t>avverkningsanmälan</t>
        </is>
      </c>
      <c r="C92" t="inlineStr">
        <is>
          <t>Föryngringsavverkning</t>
        </is>
      </c>
      <c r="D92" s="1" t="n">
        <v>44795</v>
      </c>
      <c r="E92" s="1" t="n">
        <v>46217</v>
      </c>
      <c r="F92" t="inlineStr">
        <is>
          <t>ÖREBRO LÄN</t>
        </is>
      </c>
      <c r="G92" t="inlineStr">
        <is>
          <t>LAXÅ</t>
        </is>
      </c>
      <c r="I92" t="n">
        <v>2.1</v>
      </c>
      <c r="J92" t="n">
        <v>0</v>
      </c>
      <c r="K92" t="n">
        <v>0</v>
      </c>
      <c r="L92" t="n">
        <v>0</v>
      </c>
      <c r="M92" t="n">
        <v>0</v>
      </c>
      <c r="N92" t="n">
        <v>0</v>
      </c>
      <c r="O92" t="n">
        <v>0</v>
      </c>
      <c r="P92" t="n">
        <v>0</v>
      </c>
      <c r="Q92" t="n">
        <v>0</v>
      </c>
      <c r="R92" t="n">
        <v>0</v>
      </c>
      <c r="S92" t="n">
        <v>0</v>
      </c>
      <c r="T92" t="n">
        <v>0</v>
      </c>
      <c r="U92" s="2" t="inlineStr"/>
    </row>
    <row r="93" ht="15" customHeight="1">
      <c r="A93" t="inlineStr">
        <is>
          <t>A 21522-2024</t>
        </is>
      </c>
      <c r="B93" t="inlineStr">
        <is>
          <t>avverkningsanmälan</t>
        </is>
      </c>
      <c r="C93" t="inlineStr">
        <is>
          <t>Avverkning för annat ändamål</t>
        </is>
      </c>
      <c r="D93" s="1" t="n">
        <v>45441</v>
      </c>
      <c r="E93" s="1" t="n">
        <v>46217</v>
      </c>
      <c r="F93" t="inlineStr">
        <is>
          <t>ÖREBRO LÄN</t>
        </is>
      </c>
      <c r="G93" t="inlineStr">
        <is>
          <t>LAXÅ</t>
        </is>
      </c>
      <c r="I93" t="n">
        <v>4.7</v>
      </c>
      <c r="J93" t="n">
        <v>0</v>
      </c>
      <c r="K93" t="n">
        <v>0</v>
      </c>
      <c r="L93" t="n">
        <v>0</v>
      </c>
      <c r="M93" t="n">
        <v>0</v>
      </c>
      <c r="N93" t="n">
        <v>0</v>
      </c>
      <c r="O93" t="n">
        <v>0</v>
      </c>
      <c r="P93" t="n">
        <v>0</v>
      </c>
      <c r="Q93" t="n">
        <v>0</v>
      </c>
      <c r="R93" t="n">
        <v>0</v>
      </c>
      <c r="S93" t="n">
        <v>0</v>
      </c>
      <c r="T93" t="n">
        <v>0</v>
      </c>
      <c r="U93" s="2" t="inlineStr"/>
    </row>
    <row r="94" ht="15" customHeight="1">
      <c r="A94" t="inlineStr">
        <is>
          <t>A 53016-2023</t>
        </is>
      </c>
      <c r="B94" t="inlineStr">
        <is>
          <t>avverkningsanmälan</t>
        </is>
      </c>
      <c r="C94" t="inlineStr">
        <is>
          <t>Avverkning för att bevara och utveckla /försöksver</t>
        </is>
      </c>
      <c r="D94" s="1" t="n">
        <v>45226</v>
      </c>
      <c r="E94" s="1" t="n">
        <v>46217</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s="2" t="inlineStr"/>
    </row>
    <row r="95" ht="15" customHeight="1">
      <c r="A95" t="inlineStr">
        <is>
          <t>A 23674-2024</t>
        </is>
      </c>
      <c r="B95" t="inlineStr">
        <is>
          <t>avverkningsanmälan</t>
        </is>
      </c>
      <c r="C95" t="inlineStr">
        <is>
          <t>Föryngringsavverkning</t>
        </is>
      </c>
      <c r="D95" s="1" t="n">
        <v>45454</v>
      </c>
      <c r="E95" s="1" t="n">
        <v>46217</v>
      </c>
      <c r="F95" t="inlineStr">
        <is>
          <t>ÖREBRO LÄN</t>
        </is>
      </c>
      <c r="G95" t="inlineStr">
        <is>
          <t>LAXÅ</t>
        </is>
      </c>
      <c r="I95" t="n">
        <v>6.5</v>
      </c>
      <c r="J95" t="n">
        <v>0</v>
      </c>
      <c r="K95" t="n">
        <v>0</v>
      </c>
      <c r="L95" t="n">
        <v>0</v>
      </c>
      <c r="M95" t="n">
        <v>0</v>
      </c>
      <c r="N95" t="n">
        <v>0</v>
      </c>
      <c r="O95" t="n">
        <v>0</v>
      </c>
      <c r="P95" t="n">
        <v>0</v>
      </c>
      <c r="Q95" t="n">
        <v>0</v>
      </c>
      <c r="R95" t="n">
        <v>0</v>
      </c>
      <c r="S95" t="n">
        <v>0</v>
      </c>
      <c r="T95" t="n">
        <v>0</v>
      </c>
      <c r="U95" s="2" t="inlineStr"/>
    </row>
    <row r="96" ht="15" customHeight="1">
      <c r="A96" t="inlineStr">
        <is>
          <t>A 33774-2022</t>
        </is>
      </c>
      <c r="B96" t="inlineStr">
        <is>
          <t>avverkningsanmälan</t>
        </is>
      </c>
      <c r="C96" t="inlineStr">
        <is>
          <t>Föryngringsavverkning</t>
        </is>
      </c>
      <c r="D96" s="1" t="n">
        <v>44790</v>
      </c>
      <c r="E96" s="1" t="n">
        <v>46217</v>
      </c>
      <c r="F96" t="inlineStr">
        <is>
          <t>ÖREBRO LÄN</t>
        </is>
      </c>
      <c r="G96" t="inlineStr">
        <is>
          <t>LAXÅ</t>
        </is>
      </c>
      <c r="H96" t="inlineStr">
        <is>
          <t>Sveaskog</t>
        </is>
      </c>
      <c r="I96" t="n">
        <v>1</v>
      </c>
      <c r="J96" t="n">
        <v>0</v>
      </c>
      <c r="K96" t="n">
        <v>0</v>
      </c>
      <c r="L96" t="n">
        <v>0</v>
      </c>
      <c r="M96" t="n">
        <v>0</v>
      </c>
      <c r="N96" t="n">
        <v>0</v>
      </c>
      <c r="O96" t="n">
        <v>0</v>
      </c>
      <c r="P96" t="n">
        <v>0</v>
      </c>
      <c r="Q96" t="n">
        <v>0</v>
      </c>
      <c r="R96" t="n">
        <v>0</v>
      </c>
      <c r="S96" t="n">
        <v>0</v>
      </c>
      <c r="T96" t="n">
        <v>0</v>
      </c>
      <c r="U96" s="2" t="inlineStr"/>
    </row>
    <row r="97" ht="15" customHeight="1">
      <c r="A97" t="inlineStr">
        <is>
          <t>A 36902-2021</t>
        </is>
      </c>
      <c r="B97" t="inlineStr">
        <is>
          <t>avverkningsanmälan</t>
        </is>
      </c>
      <c r="C97" t="inlineStr">
        <is>
          <t>Föryngringsavverkning</t>
        </is>
      </c>
      <c r="D97" s="1" t="n">
        <v>44393</v>
      </c>
      <c r="E97" s="1" t="n">
        <v>46217</v>
      </c>
      <c r="F97" t="inlineStr">
        <is>
          <t>ÖREBRO LÄN</t>
        </is>
      </c>
      <c r="G97" t="inlineStr">
        <is>
          <t>LAXÅ</t>
        </is>
      </c>
      <c r="H97" t="inlineStr">
        <is>
          <t>Sveaskog</t>
        </is>
      </c>
      <c r="I97" t="n">
        <v>1.1</v>
      </c>
      <c r="J97" t="n">
        <v>0</v>
      </c>
      <c r="K97" t="n">
        <v>0</v>
      </c>
      <c r="L97" t="n">
        <v>0</v>
      </c>
      <c r="M97" t="n">
        <v>0</v>
      </c>
      <c r="N97" t="n">
        <v>0</v>
      </c>
      <c r="O97" t="n">
        <v>0</v>
      </c>
      <c r="P97" t="n">
        <v>0</v>
      </c>
      <c r="Q97" t="n">
        <v>0</v>
      </c>
      <c r="R97" t="n">
        <v>0</v>
      </c>
      <c r="S97" t="n">
        <v>0</v>
      </c>
      <c r="T97" t="n">
        <v>0</v>
      </c>
      <c r="U97" s="2" t="inlineStr"/>
    </row>
    <row r="98" ht="15" customHeight="1">
      <c r="A98" t="inlineStr">
        <is>
          <t>A 61090-2023</t>
        </is>
      </c>
      <c r="B98" t="inlineStr">
        <is>
          <t>avverkningsanmälan</t>
        </is>
      </c>
      <c r="C98" t="inlineStr">
        <is>
          <t>Föryngringsavverkning</t>
        </is>
      </c>
      <c r="D98" s="1" t="n">
        <v>45261</v>
      </c>
      <c r="E98" s="1" t="n">
        <v>46217</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s="2" t="inlineStr"/>
    </row>
    <row r="99" ht="15" customHeight="1">
      <c r="A99" t="inlineStr">
        <is>
          <t>A 57367-2021</t>
        </is>
      </c>
      <c r="B99" t="inlineStr">
        <is>
          <t>avverkningsanmälan</t>
        </is>
      </c>
      <c r="C99" t="inlineStr">
        <is>
          <t>Föryngringsavverkning</t>
        </is>
      </c>
      <c r="D99" s="1" t="n">
        <v>44483</v>
      </c>
      <c r="E99" s="1" t="n">
        <v>46217</v>
      </c>
      <c r="F99" t="inlineStr">
        <is>
          <t>ÖREBRO LÄN</t>
        </is>
      </c>
      <c r="G99" t="inlineStr">
        <is>
          <t>LAXÅ</t>
        </is>
      </c>
      <c r="H99" t="inlineStr">
        <is>
          <t>Sveaskog</t>
        </is>
      </c>
      <c r="I99" t="n">
        <v>0.9</v>
      </c>
      <c r="J99" t="n">
        <v>0</v>
      </c>
      <c r="K99" t="n">
        <v>0</v>
      </c>
      <c r="L99" t="n">
        <v>0</v>
      </c>
      <c r="M99" t="n">
        <v>0</v>
      </c>
      <c r="N99" t="n">
        <v>0</v>
      </c>
      <c r="O99" t="n">
        <v>0</v>
      </c>
      <c r="P99" t="n">
        <v>0</v>
      </c>
      <c r="Q99" t="n">
        <v>0</v>
      </c>
      <c r="R99" t="n">
        <v>0</v>
      </c>
      <c r="S99" t="n">
        <v>0</v>
      </c>
      <c r="T99" t="n">
        <v>0</v>
      </c>
      <c r="U99" s="2" t="inlineStr"/>
    </row>
    <row r="100" ht="15" customHeight="1">
      <c r="A100" t="inlineStr">
        <is>
          <t>A 1662-2024</t>
        </is>
      </c>
      <c r="B100" t="inlineStr">
        <is>
          <t>avverkningsanmälan</t>
        </is>
      </c>
      <c r="C100" t="inlineStr">
        <is>
          <t>Föryngringsavverkning</t>
        </is>
      </c>
      <c r="D100" s="1" t="n">
        <v>45306</v>
      </c>
      <c r="E100" s="1" t="n">
        <v>46217</v>
      </c>
      <c r="F100" t="inlineStr">
        <is>
          <t>ÖREBRO LÄN</t>
        </is>
      </c>
      <c r="G100" t="inlineStr">
        <is>
          <t>LAXÅ</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55212-2021</t>
        </is>
      </c>
      <c r="B101" t="inlineStr">
        <is>
          <t>avverkningsanmälan</t>
        </is>
      </c>
      <c r="C101" t="inlineStr">
        <is>
          <t>Föryngringsavverkning</t>
        </is>
      </c>
      <c r="D101" s="1" t="n">
        <v>44475</v>
      </c>
      <c r="E101" s="1" t="n">
        <v>46217</v>
      </c>
      <c r="F101" t="inlineStr">
        <is>
          <t>ÖREBRO LÄN</t>
        </is>
      </c>
      <c r="G101" t="inlineStr">
        <is>
          <t>LAXÅ</t>
        </is>
      </c>
      <c r="H101" t="inlineStr">
        <is>
          <t>Sveaskog</t>
        </is>
      </c>
      <c r="I101" t="n">
        <v>3.3</v>
      </c>
      <c r="J101" t="n">
        <v>0</v>
      </c>
      <c r="K101" t="n">
        <v>0</v>
      </c>
      <c r="L101" t="n">
        <v>0</v>
      </c>
      <c r="M101" t="n">
        <v>0</v>
      </c>
      <c r="N101" t="n">
        <v>0</v>
      </c>
      <c r="O101" t="n">
        <v>0</v>
      </c>
      <c r="P101" t="n">
        <v>0</v>
      </c>
      <c r="Q101" t="n">
        <v>0</v>
      </c>
      <c r="R101" t="n">
        <v>0</v>
      </c>
      <c r="S101" t="n">
        <v>0</v>
      </c>
      <c r="T101" t="n">
        <v>0</v>
      </c>
      <c r="U101" s="2" t="inlineStr"/>
    </row>
    <row r="102" ht="15" customHeight="1">
      <c r="A102" t="inlineStr">
        <is>
          <t>A 55214-2021</t>
        </is>
      </c>
      <c r="B102" t="inlineStr">
        <is>
          <t>avverkningsanmälan</t>
        </is>
      </c>
      <c r="C102" t="inlineStr">
        <is>
          <t>Föryngringsavverkning</t>
        </is>
      </c>
      <c r="D102" s="1" t="n">
        <v>44475</v>
      </c>
      <c r="E102" s="1" t="n">
        <v>46217</v>
      </c>
      <c r="F102" t="inlineStr">
        <is>
          <t>ÖREBRO LÄN</t>
        </is>
      </c>
      <c r="G102" t="inlineStr">
        <is>
          <t>LAXÅ</t>
        </is>
      </c>
      <c r="H102" t="inlineStr">
        <is>
          <t>Sveaskog</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43796-2021</t>
        </is>
      </c>
      <c r="B103" t="inlineStr">
        <is>
          <t>avverkningsanmälan</t>
        </is>
      </c>
      <c r="C103" t="inlineStr">
        <is>
          <t>Föryngringsavverkning</t>
        </is>
      </c>
      <c r="D103" s="1" t="n">
        <v>44433</v>
      </c>
      <c r="E103" s="1" t="n">
        <v>46217</v>
      </c>
      <c r="F103" t="inlineStr">
        <is>
          <t>ÖREBRO LÄN</t>
        </is>
      </c>
      <c r="G103" t="inlineStr">
        <is>
          <t>LAXÅ</t>
        </is>
      </c>
      <c r="H103" t="inlineStr">
        <is>
          <t>Sveaskog</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51714-2022</t>
        </is>
      </c>
      <c r="B104" t="inlineStr">
        <is>
          <t>avverkningsanmälan</t>
        </is>
      </c>
      <c r="C104" t="inlineStr">
        <is>
          <t>Föryngringsavverkning</t>
        </is>
      </c>
      <c r="D104" s="1" t="n">
        <v>44872</v>
      </c>
      <c r="E104" s="1" t="n">
        <v>46217</v>
      </c>
      <c r="F104" t="inlineStr">
        <is>
          <t>ÖREBRO LÄN</t>
        </is>
      </c>
      <c r="G104" t="inlineStr">
        <is>
          <t>LAXÅ</t>
        </is>
      </c>
      <c r="H104" t="inlineStr">
        <is>
          <t>Sveaskog</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22797-2024</t>
        </is>
      </c>
      <c r="B105" t="inlineStr">
        <is>
          <t>avverkningsanmälan</t>
        </is>
      </c>
      <c r="C105" t="inlineStr">
        <is>
          <t>Föryngringsavverkning</t>
        </is>
      </c>
      <c r="D105" s="1" t="n">
        <v>45448</v>
      </c>
      <c r="E105" s="1" t="n">
        <v>46217</v>
      </c>
      <c r="F105" t="inlineStr">
        <is>
          <t>ÖREBRO LÄN</t>
        </is>
      </c>
      <c r="G105" t="inlineStr">
        <is>
          <t>LAXÅ</t>
        </is>
      </c>
      <c r="H105" t="inlineStr">
        <is>
          <t>Övriga statliga verk och myndigheter</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36553-2024</t>
        </is>
      </c>
      <c r="B106" t="inlineStr">
        <is>
          <t>avverkningsanmälan</t>
        </is>
      </c>
      <c r="C106" t="inlineStr">
        <is>
          <t>Föryngringsavverkning</t>
        </is>
      </c>
      <c r="D106" s="1" t="n">
        <v>45537</v>
      </c>
      <c r="E106" s="1" t="n">
        <v>46217</v>
      </c>
      <c r="F106" t="inlineStr">
        <is>
          <t>ÖREBRO LÄN</t>
        </is>
      </c>
      <c r="G106" t="inlineStr">
        <is>
          <t>LAXÅ</t>
        </is>
      </c>
      <c r="H106" t="inlineStr">
        <is>
          <t>Sveaskog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12430-2023</t>
        </is>
      </c>
      <c r="B107" t="inlineStr">
        <is>
          <t>avverkningsanmälan</t>
        </is>
      </c>
      <c r="C107" t="inlineStr">
        <is>
          <t>Föryngringsavverkning</t>
        </is>
      </c>
      <c r="D107" s="1" t="n">
        <v>44998</v>
      </c>
      <c r="E107" s="1" t="n">
        <v>46217</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13888-2024</t>
        </is>
      </c>
      <c r="B108" t="inlineStr">
        <is>
          <t>avverkningsanmälan</t>
        </is>
      </c>
      <c r="C108" t="inlineStr">
        <is>
          <t>Föryngringsavverkning</t>
        </is>
      </c>
      <c r="D108" s="1" t="n">
        <v>45391</v>
      </c>
      <c r="E108" s="1" t="n">
        <v>46217</v>
      </c>
      <c r="F108" t="inlineStr">
        <is>
          <t>ÖREBRO LÄN</t>
        </is>
      </c>
      <c r="G108" t="inlineStr">
        <is>
          <t>LAXÅ</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12063-2024</t>
        </is>
      </c>
      <c r="B109" t="inlineStr">
        <is>
          <t>avverkningsanmälan</t>
        </is>
      </c>
      <c r="C109" t="inlineStr">
        <is>
          <t>Föryngringsavverkning</t>
        </is>
      </c>
      <c r="D109" s="1" t="n">
        <v>45377</v>
      </c>
      <c r="E109" s="1" t="n">
        <v>46217</v>
      </c>
      <c r="F109" t="inlineStr">
        <is>
          <t>ÖREBRO LÄN</t>
        </is>
      </c>
      <c r="G109" t="inlineStr">
        <is>
          <t>LAXÅ</t>
        </is>
      </c>
      <c r="H109" t="inlineStr">
        <is>
          <t>Sveaskog</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6294-2024</t>
        </is>
      </c>
      <c r="B110" t="inlineStr">
        <is>
          <t>avverkningsanmälan</t>
        </is>
      </c>
      <c r="C110" t="inlineStr">
        <is>
          <t>Föryngringsavverkning</t>
        </is>
      </c>
      <c r="D110" s="1" t="n">
        <v>45338</v>
      </c>
      <c r="E110" s="1" t="n">
        <v>46217</v>
      </c>
      <c r="F110" t="inlineStr">
        <is>
          <t>ÖREBRO LÄN</t>
        </is>
      </c>
      <c r="G110" t="inlineStr">
        <is>
          <t>LAXÅ</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21764-2022</t>
        </is>
      </c>
      <c r="B111" t="inlineStr">
        <is>
          <t>avverkningsanmälan</t>
        </is>
      </c>
      <c r="C111" t="inlineStr">
        <is>
          <t>Föryngringsavverkning</t>
        </is>
      </c>
      <c r="D111" s="1" t="n">
        <v>44708</v>
      </c>
      <c r="E111" s="1" t="n">
        <v>46217</v>
      </c>
      <c r="F111" t="inlineStr">
        <is>
          <t>ÖREBRO LÄN</t>
        </is>
      </c>
      <c r="G111" t="inlineStr">
        <is>
          <t>LAXÅ</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48849-2023</t>
        </is>
      </c>
      <c r="B112" t="inlineStr">
        <is>
          <t>avverkningsanmälan</t>
        </is>
      </c>
      <c r="C112" t="inlineStr">
        <is>
          <t>Föryngringsavverkning</t>
        </is>
      </c>
      <c r="D112" s="1" t="n">
        <v>45209</v>
      </c>
      <c r="E112" s="1" t="n">
        <v>46217</v>
      </c>
      <c r="F112" t="inlineStr">
        <is>
          <t>ÖREBRO LÄN</t>
        </is>
      </c>
      <c r="G112" t="inlineStr">
        <is>
          <t>LAXÅ</t>
        </is>
      </c>
      <c r="I112" t="n">
        <v>5.5</v>
      </c>
      <c r="J112" t="n">
        <v>0</v>
      </c>
      <c r="K112" t="n">
        <v>0</v>
      </c>
      <c r="L112" t="n">
        <v>0</v>
      </c>
      <c r="M112" t="n">
        <v>0</v>
      </c>
      <c r="N112" t="n">
        <v>0</v>
      </c>
      <c r="O112" t="n">
        <v>0</v>
      </c>
      <c r="P112" t="n">
        <v>0</v>
      </c>
      <c r="Q112" t="n">
        <v>0</v>
      </c>
      <c r="R112" t="n">
        <v>0</v>
      </c>
      <c r="S112" t="n">
        <v>0</v>
      </c>
      <c r="T112" t="n">
        <v>0</v>
      </c>
      <c r="U112" s="2" t="inlineStr"/>
    </row>
    <row r="113" ht="15" customHeight="1">
      <c r="A113" t="inlineStr">
        <is>
          <t>A 49974-2021</t>
        </is>
      </c>
      <c r="B113" t="inlineStr">
        <is>
          <t>avverkningsanmälan</t>
        </is>
      </c>
      <c r="C113" t="inlineStr">
        <is>
          <t>Föryngringsavverkning</t>
        </is>
      </c>
      <c r="D113" s="1" t="n">
        <v>44456</v>
      </c>
      <c r="E113" s="1" t="n">
        <v>46217</v>
      </c>
      <c r="F113" t="inlineStr">
        <is>
          <t>ÖREBRO LÄN</t>
        </is>
      </c>
      <c r="G113" t="inlineStr">
        <is>
          <t>LAXÅ</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36672-2025</t>
        </is>
      </c>
      <c r="B114" t="inlineStr">
        <is>
          <t>avverkningsanmälan</t>
        </is>
      </c>
      <c r="C114" t="inlineStr">
        <is>
          <t>Föryngringsavverkning</t>
        </is>
      </c>
      <c r="D114" s="1" t="n">
        <v>45873</v>
      </c>
      <c r="E114" s="1" t="n">
        <v>46217</v>
      </c>
      <c r="F114" t="inlineStr">
        <is>
          <t>ÖREBRO LÄN</t>
        </is>
      </c>
      <c r="G114" t="inlineStr">
        <is>
          <t>LAXÅ</t>
        </is>
      </c>
      <c r="H114" t="inlineStr">
        <is>
          <t>Sveaskog</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36670-2025</t>
        </is>
      </c>
      <c r="B115" t="inlineStr">
        <is>
          <t>avverkningsanmälan</t>
        </is>
      </c>
      <c r="C115" t="inlineStr">
        <is>
          <t>Föryngringsavverkning</t>
        </is>
      </c>
      <c r="D115" s="1" t="n">
        <v>45873</v>
      </c>
      <c r="E115" s="1" t="n">
        <v>46217</v>
      </c>
      <c r="F115" t="inlineStr">
        <is>
          <t>ÖREBRO LÄN</t>
        </is>
      </c>
      <c r="G115" t="inlineStr">
        <is>
          <t>LAXÅ</t>
        </is>
      </c>
      <c r="H115" t="inlineStr">
        <is>
          <t>Sveaskog</t>
        </is>
      </c>
      <c r="I115" t="n">
        <v>4.7</v>
      </c>
      <c r="J115" t="n">
        <v>0</v>
      </c>
      <c r="K115" t="n">
        <v>0</v>
      </c>
      <c r="L115" t="n">
        <v>0</v>
      </c>
      <c r="M115" t="n">
        <v>0</v>
      </c>
      <c r="N115" t="n">
        <v>0</v>
      </c>
      <c r="O115" t="n">
        <v>0</v>
      </c>
      <c r="P115" t="n">
        <v>0</v>
      </c>
      <c r="Q115" t="n">
        <v>0</v>
      </c>
      <c r="R115" t="n">
        <v>0</v>
      </c>
      <c r="S115" t="n">
        <v>0</v>
      </c>
      <c r="T115" t="n">
        <v>0</v>
      </c>
      <c r="U115" s="2" t="inlineStr"/>
    </row>
    <row r="116" ht="15" customHeight="1">
      <c r="A116" t="inlineStr">
        <is>
          <t>A 37620-2025</t>
        </is>
      </c>
      <c r="B116" t="inlineStr">
        <is>
          <t>avverkningsanmälan</t>
        </is>
      </c>
      <c r="C116" t="inlineStr">
        <is>
          <t>Föryngringsavverkning</t>
        </is>
      </c>
      <c r="D116" s="1" t="n">
        <v>45880</v>
      </c>
      <c r="E116" s="1" t="n">
        <v>46217</v>
      </c>
      <c r="F116" t="inlineStr">
        <is>
          <t>ÖREBRO LÄN</t>
        </is>
      </c>
      <c r="G116" t="inlineStr">
        <is>
          <t>LAXÅ</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50578-2024</t>
        </is>
      </c>
      <c r="B117" t="inlineStr">
        <is>
          <t>avverkningsanmälan</t>
        </is>
      </c>
      <c r="C117" t="inlineStr">
        <is>
          <t>Föryngringsavverkning</t>
        </is>
      </c>
      <c r="D117" s="1" t="n">
        <v>45601</v>
      </c>
      <c r="E117" s="1" t="n">
        <v>46217</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12962-2025</t>
        </is>
      </c>
      <c r="B118" t="inlineStr">
        <is>
          <t>avverkningsanmälan</t>
        </is>
      </c>
      <c r="C118" t="inlineStr">
        <is>
          <t>Föryngringsavverkning</t>
        </is>
      </c>
      <c r="D118" s="1" t="n">
        <v>45734</v>
      </c>
      <c r="E118" s="1" t="n">
        <v>46217</v>
      </c>
      <c r="F118" t="inlineStr">
        <is>
          <t>ÖREBRO LÄN</t>
        </is>
      </c>
      <c r="G118" t="inlineStr">
        <is>
          <t>LAXÅ</t>
        </is>
      </c>
      <c r="H118" t="inlineStr">
        <is>
          <t>Sveaskog</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40151-2024</t>
        </is>
      </c>
      <c r="B119" t="inlineStr">
        <is>
          <t>avverkningsanmälan</t>
        </is>
      </c>
      <c r="C119" t="inlineStr">
        <is>
          <t>Föryngringsavverkning</t>
        </is>
      </c>
      <c r="D119" s="1" t="n">
        <v>45554</v>
      </c>
      <c r="E119" s="1" t="n">
        <v>46217</v>
      </c>
      <c r="F119" t="inlineStr">
        <is>
          <t>ÖREBRO LÄN</t>
        </is>
      </c>
      <c r="G119" t="inlineStr">
        <is>
          <t>LAXÅ</t>
        </is>
      </c>
      <c r="H119" t="inlineStr">
        <is>
          <t>Sveaskog</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6905-2025</t>
        </is>
      </c>
      <c r="B120" t="inlineStr">
        <is>
          <t>avverkningsanmälan</t>
        </is>
      </c>
      <c r="C120" t="inlineStr">
        <is>
          <t>Föryngringsavverkning</t>
        </is>
      </c>
      <c r="D120" s="1" t="n">
        <v>45701</v>
      </c>
      <c r="E120" s="1" t="n">
        <v>46217</v>
      </c>
      <c r="F120" t="inlineStr">
        <is>
          <t>ÖREBRO LÄN</t>
        </is>
      </c>
      <c r="G120" t="inlineStr">
        <is>
          <t>LAXÅ</t>
        </is>
      </c>
      <c r="H120" t="inlineStr">
        <is>
          <t>Sveaskog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41456-2023</t>
        </is>
      </c>
      <c r="B121" t="inlineStr">
        <is>
          <t>avverkningsanmälan</t>
        </is>
      </c>
      <c r="C121" t="inlineStr">
        <is>
          <t>Föryngringsavverkning</t>
        </is>
      </c>
      <c r="D121" s="1" t="n">
        <v>45175</v>
      </c>
      <c r="E121" s="1" t="n">
        <v>46217</v>
      </c>
      <c r="F121" t="inlineStr">
        <is>
          <t>ÖREBRO LÄN</t>
        </is>
      </c>
      <c r="G121" t="inlineStr">
        <is>
          <t>LAXÅ</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28566-2025</t>
        </is>
      </c>
      <c r="B122" t="inlineStr">
        <is>
          <t>avverkningsanmälan</t>
        </is>
      </c>
      <c r="C122" t="inlineStr">
        <is>
          <t>Föryngringsavverkning</t>
        </is>
      </c>
      <c r="D122" s="1" t="n">
        <v>45819</v>
      </c>
      <c r="E122" s="1" t="n">
        <v>46217</v>
      </c>
      <c r="F122" t="inlineStr">
        <is>
          <t>ÖREBRO LÄN</t>
        </is>
      </c>
      <c r="G122" t="inlineStr">
        <is>
          <t>LAXÅ</t>
        </is>
      </c>
      <c r="I122" t="n">
        <v>3.1</v>
      </c>
      <c r="J122" t="n">
        <v>0</v>
      </c>
      <c r="K122" t="n">
        <v>0</v>
      </c>
      <c r="L122" t="n">
        <v>0</v>
      </c>
      <c r="M122" t="n">
        <v>0</v>
      </c>
      <c r="N122" t="n">
        <v>0</v>
      </c>
      <c r="O122" t="n">
        <v>0</v>
      </c>
      <c r="P122" t="n">
        <v>0</v>
      </c>
      <c r="Q122" t="n">
        <v>0</v>
      </c>
      <c r="R122" t="n">
        <v>0</v>
      </c>
      <c r="S122" t="n">
        <v>0</v>
      </c>
      <c r="T122" t="n">
        <v>0</v>
      </c>
      <c r="U122" s="2" t="inlineStr"/>
    </row>
    <row r="123" ht="15" customHeight="1">
      <c r="A123" t="inlineStr">
        <is>
          <t>A 6902-2025</t>
        </is>
      </c>
      <c r="B123" t="inlineStr">
        <is>
          <t>avverkningsanmälan</t>
        </is>
      </c>
      <c r="C123" t="inlineStr">
        <is>
          <t>Föryngringsavverkning</t>
        </is>
      </c>
      <c r="D123" s="1" t="n">
        <v>45701</v>
      </c>
      <c r="E123" s="1" t="n">
        <v>46217</v>
      </c>
      <c r="F123" t="inlineStr">
        <is>
          <t>ÖREBRO LÄN</t>
        </is>
      </c>
      <c r="G123" t="inlineStr">
        <is>
          <t>LAXÅ</t>
        </is>
      </c>
      <c r="H123" t="inlineStr">
        <is>
          <t>Sveaskog</t>
        </is>
      </c>
      <c r="I123" t="n">
        <v>4.9</v>
      </c>
      <c r="J123" t="n">
        <v>0</v>
      </c>
      <c r="K123" t="n">
        <v>0</v>
      </c>
      <c r="L123" t="n">
        <v>0</v>
      </c>
      <c r="M123" t="n">
        <v>0</v>
      </c>
      <c r="N123" t="n">
        <v>0</v>
      </c>
      <c r="O123" t="n">
        <v>0</v>
      </c>
      <c r="P123" t="n">
        <v>0</v>
      </c>
      <c r="Q123" t="n">
        <v>0</v>
      </c>
      <c r="R123" t="n">
        <v>0</v>
      </c>
      <c r="S123" t="n">
        <v>0</v>
      </c>
      <c r="T123" t="n">
        <v>0</v>
      </c>
      <c r="U123" s="2" t="inlineStr"/>
    </row>
    <row r="124" ht="15" customHeight="1">
      <c r="A124" t="inlineStr">
        <is>
          <t>A 50005-2021</t>
        </is>
      </c>
      <c r="B124" t="inlineStr">
        <is>
          <t>avverkningsanmälan</t>
        </is>
      </c>
      <c r="C124" t="inlineStr">
        <is>
          <t>Föryngringsavverkning</t>
        </is>
      </c>
      <c r="D124" s="1" t="n">
        <v>44456</v>
      </c>
      <c r="E124" s="1" t="n">
        <v>46217</v>
      </c>
      <c r="F124" t="inlineStr">
        <is>
          <t>ÖREBRO LÄN</t>
        </is>
      </c>
      <c r="G124" t="inlineStr">
        <is>
          <t>LAXÅ</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25512-2023</t>
        </is>
      </c>
      <c r="B125" t="inlineStr">
        <is>
          <t>avverkningsanmälan</t>
        </is>
      </c>
      <c r="C125" t="inlineStr">
        <is>
          <t>Föryngringsavverkning</t>
        </is>
      </c>
      <c r="D125" s="1" t="n">
        <v>45089</v>
      </c>
      <c r="E125" s="1" t="n">
        <v>46217</v>
      </c>
      <c r="F125" t="inlineStr">
        <is>
          <t>ÖREBRO LÄN</t>
        </is>
      </c>
      <c r="G125" t="inlineStr">
        <is>
          <t>LAXÅ</t>
        </is>
      </c>
      <c r="H125" t="inlineStr">
        <is>
          <t>Övriga statliga verk och myndigheter</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25515-2023</t>
        </is>
      </c>
      <c r="B126" t="inlineStr">
        <is>
          <t>avverkningsanmälan</t>
        </is>
      </c>
      <c r="C126" t="inlineStr">
        <is>
          <t>Föryngringsavverkning</t>
        </is>
      </c>
      <c r="D126" s="1" t="n">
        <v>45089</v>
      </c>
      <c r="E126" s="1" t="n">
        <v>46217</v>
      </c>
      <c r="F126" t="inlineStr">
        <is>
          <t>ÖREBRO LÄN</t>
        </is>
      </c>
      <c r="G126" t="inlineStr">
        <is>
          <t>LAXÅ</t>
        </is>
      </c>
      <c r="H126" t="inlineStr">
        <is>
          <t>Övriga statliga verk och myndigheter</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28415-2025</t>
        </is>
      </c>
      <c r="B127" t="inlineStr">
        <is>
          <t>avverkningsanmälan</t>
        </is>
      </c>
      <c r="C127" t="inlineStr">
        <is>
          <t>Föryngringsavverkning</t>
        </is>
      </c>
      <c r="D127" s="1" t="n">
        <v>45819</v>
      </c>
      <c r="E127" s="1" t="n">
        <v>46217</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40668-2025</t>
        </is>
      </c>
      <c r="B128" t="inlineStr">
        <is>
          <t>avverkningsanmälan</t>
        </is>
      </c>
      <c r="C128" t="inlineStr">
        <is>
          <t>Föryngringsavverkning</t>
        </is>
      </c>
      <c r="D128" s="1" t="n">
        <v>45896</v>
      </c>
      <c r="E128" s="1" t="n">
        <v>46217</v>
      </c>
      <c r="F128" t="inlineStr">
        <is>
          <t>ÖREBRO LÄN</t>
        </is>
      </c>
      <c r="G128" t="inlineStr">
        <is>
          <t>LAXÅ</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10680-2023</t>
        </is>
      </c>
      <c r="B129" t="inlineStr">
        <is>
          <t>avverkningsanmälan</t>
        </is>
      </c>
      <c r="C129" t="inlineStr">
        <is>
          <t>Föryngringsavverkning</t>
        </is>
      </c>
      <c r="D129" s="1" t="n">
        <v>44988</v>
      </c>
      <c r="E129" s="1" t="n">
        <v>46217</v>
      </c>
      <c r="F129" t="inlineStr">
        <is>
          <t>ÖREBRO LÄN</t>
        </is>
      </c>
      <c r="G129" t="inlineStr">
        <is>
          <t>LAXÅ</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42549-2025</t>
        </is>
      </c>
      <c r="B130" t="inlineStr">
        <is>
          <t>avverkningsanmälan</t>
        </is>
      </c>
      <c r="C130" t="inlineStr">
        <is>
          <t>Föryngringsavverkning</t>
        </is>
      </c>
      <c r="D130" s="1" t="n">
        <v>45905</v>
      </c>
      <c r="E130" s="1" t="n">
        <v>46217</v>
      </c>
      <c r="F130" t="inlineStr">
        <is>
          <t>ÖREBRO LÄN</t>
        </is>
      </c>
      <c r="G130" t="inlineStr">
        <is>
          <t>LAXÅ</t>
        </is>
      </c>
      <c r="H130" t="inlineStr">
        <is>
          <t>Sveaskog</t>
        </is>
      </c>
      <c r="I130" t="n">
        <v>8.300000000000001</v>
      </c>
      <c r="J130" t="n">
        <v>0</v>
      </c>
      <c r="K130" t="n">
        <v>0</v>
      </c>
      <c r="L130" t="n">
        <v>0</v>
      </c>
      <c r="M130" t="n">
        <v>0</v>
      </c>
      <c r="N130" t="n">
        <v>0</v>
      </c>
      <c r="O130" t="n">
        <v>0</v>
      </c>
      <c r="P130" t="n">
        <v>0</v>
      </c>
      <c r="Q130" t="n">
        <v>0</v>
      </c>
      <c r="R130" t="n">
        <v>0</v>
      </c>
      <c r="S130" t="n">
        <v>0</v>
      </c>
      <c r="T130" t="n">
        <v>0</v>
      </c>
      <c r="U130" s="2" t="inlineStr"/>
    </row>
    <row r="131" ht="15" customHeight="1">
      <c r="A131" t="inlineStr">
        <is>
          <t>A 67053-2021</t>
        </is>
      </c>
      <c r="B131" t="inlineStr">
        <is>
          <t>avverkningsanmälan</t>
        </is>
      </c>
      <c r="C131" t="inlineStr">
        <is>
          <t>Föryngringsavverkning</t>
        </is>
      </c>
      <c r="D131" s="1" t="n">
        <v>44522</v>
      </c>
      <c r="E131" s="1" t="n">
        <v>46217</v>
      </c>
      <c r="F131" t="inlineStr">
        <is>
          <t>ÖREBRO LÄN</t>
        </is>
      </c>
      <c r="G131" t="inlineStr">
        <is>
          <t>LAXÅ</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42551-2025</t>
        </is>
      </c>
      <c r="B132" t="inlineStr">
        <is>
          <t>avverkningsanmälan</t>
        </is>
      </c>
      <c r="C132" t="inlineStr">
        <is>
          <t>Föryngringsavverkning</t>
        </is>
      </c>
      <c r="D132" s="1" t="n">
        <v>45905</v>
      </c>
      <c r="E132" s="1" t="n">
        <v>46217</v>
      </c>
      <c r="F132" t="inlineStr">
        <is>
          <t>ÖREBRO LÄN</t>
        </is>
      </c>
      <c r="G132" t="inlineStr">
        <is>
          <t>LAXÅ</t>
        </is>
      </c>
      <c r="H132" t="inlineStr">
        <is>
          <t>Sveaskog</t>
        </is>
      </c>
      <c r="I132" t="n">
        <v>10.1</v>
      </c>
      <c r="J132" t="n">
        <v>0</v>
      </c>
      <c r="K132" t="n">
        <v>0</v>
      </c>
      <c r="L132" t="n">
        <v>0</v>
      </c>
      <c r="M132" t="n">
        <v>0</v>
      </c>
      <c r="N132" t="n">
        <v>0</v>
      </c>
      <c r="O132" t="n">
        <v>0</v>
      </c>
      <c r="P132" t="n">
        <v>0</v>
      </c>
      <c r="Q132" t="n">
        <v>0</v>
      </c>
      <c r="R132" t="n">
        <v>0</v>
      </c>
      <c r="S132" t="n">
        <v>0</v>
      </c>
      <c r="T132" t="n">
        <v>0</v>
      </c>
      <c r="U132" s="2" t="inlineStr"/>
    </row>
    <row r="133" ht="15" customHeight="1">
      <c r="A133" t="inlineStr">
        <is>
          <t>A 42552-2025</t>
        </is>
      </c>
      <c r="B133" t="inlineStr">
        <is>
          <t>avverkningsanmälan</t>
        </is>
      </c>
      <c r="C133" t="inlineStr">
        <is>
          <t>Föryngringsavverkning</t>
        </is>
      </c>
      <c r="D133" s="1" t="n">
        <v>45905</v>
      </c>
      <c r="E133" s="1" t="n">
        <v>46217</v>
      </c>
      <c r="F133" t="inlineStr">
        <is>
          <t>ÖREBRO LÄN</t>
        </is>
      </c>
      <c r="G133" t="inlineStr">
        <is>
          <t>LAXÅ</t>
        </is>
      </c>
      <c r="H133" t="inlineStr">
        <is>
          <t>Sveaskog</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38722-2025</t>
        </is>
      </c>
      <c r="B134" t="inlineStr">
        <is>
          <t>avverkningsanmälan</t>
        </is>
      </c>
      <c r="C134" t="inlineStr">
        <is>
          <t>Föryngringsavverkning</t>
        </is>
      </c>
      <c r="D134" s="1" t="n">
        <v>45886</v>
      </c>
      <c r="E134" s="1" t="n">
        <v>46217</v>
      </c>
      <c r="F134" t="inlineStr">
        <is>
          <t>ÖREBRO LÄN</t>
        </is>
      </c>
      <c r="G134" t="inlineStr">
        <is>
          <t>LAXÅ</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57548-2023</t>
        </is>
      </c>
      <c r="B135" t="inlineStr">
        <is>
          <t>avverkningsanmälan</t>
        </is>
      </c>
      <c r="C135" t="inlineStr">
        <is>
          <t>Föryngringsavverkning</t>
        </is>
      </c>
      <c r="D135" s="1" t="n">
        <v>45240</v>
      </c>
      <c r="E135" s="1" t="n">
        <v>46217</v>
      </c>
      <c r="F135" t="inlineStr">
        <is>
          <t>ÖREBRO LÄN</t>
        </is>
      </c>
      <c r="G135" t="inlineStr">
        <is>
          <t>LAXÅ</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68356-2021</t>
        </is>
      </c>
      <c r="B136" t="inlineStr">
        <is>
          <t>avverkningsanmälan</t>
        </is>
      </c>
      <c r="C136" t="inlineStr">
        <is>
          <t>Föryngringsavverkning</t>
        </is>
      </c>
      <c r="D136" s="1" t="n">
        <v>44528</v>
      </c>
      <c r="E136" s="1" t="n">
        <v>46217</v>
      </c>
      <c r="F136" t="inlineStr">
        <is>
          <t>ÖREBRO LÄN</t>
        </is>
      </c>
      <c r="G136" t="inlineStr">
        <is>
          <t>LAXÅ</t>
        </is>
      </c>
      <c r="H136" t="inlineStr">
        <is>
          <t>Sveaskog</t>
        </is>
      </c>
      <c r="I136" t="n">
        <v>9.800000000000001</v>
      </c>
      <c r="J136" t="n">
        <v>0</v>
      </c>
      <c r="K136" t="n">
        <v>0</v>
      </c>
      <c r="L136" t="n">
        <v>0</v>
      </c>
      <c r="M136" t="n">
        <v>0</v>
      </c>
      <c r="N136" t="n">
        <v>0</v>
      </c>
      <c r="O136" t="n">
        <v>0</v>
      </c>
      <c r="P136" t="n">
        <v>0</v>
      </c>
      <c r="Q136" t="n">
        <v>0</v>
      </c>
      <c r="R136" t="n">
        <v>0</v>
      </c>
      <c r="S136" t="n">
        <v>0</v>
      </c>
      <c r="T136" t="n">
        <v>0</v>
      </c>
      <c r="U136" s="2" t="inlineStr"/>
    </row>
    <row r="137" ht="15" customHeight="1">
      <c r="A137" t="inlineStr">
        <is>
          <t>A 44313-2025</t>
        </is>
      </c>
      <c r="B137" t="inlineStr">
        <is>
          <t>avverkningsanmälan</t>
        </is>
      </c>
      <c r="C137" t="inlineStr">
        <is>
          <t>Föryngringsavverkning</t>
        </is>
      </c>
      <c r="D137" s="1" t="n">
        <v>45915</v>
      </c>
      <c r="E137" s="1" t="n">
        <v>46217</v>
      </c>
      <c r="F137" t="inlineStr">
        <is>
          <t>ÖREBRO LÄN</t>
        </is>
      </c>
      <c r="G137" t="inlineStr">
        <is>
          <t>LAXÅ</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67054-2021</t>
        </is>
      </c>
      <c r="B138" t="inlineStr">
        <is>
          <t>avverkningsanmälan</t>
        </is>
      </c>
      <c r="C138" t="inlineStr">
        <is>
          <t>Föryngringsavverkning</t>
        </is>
      </c>
      <c r="D138" s="1" t="n">
        <v>44522</v>
      </c>
      <c r="E138" s="1" t="n">
        <v>46217</v>
      </c>
      <c r="F138" t="inlineStr">
        <is>
          <t>ÖREBRO LÄN</t>
        </is>
      </c>
      <c r="G138" t="inlineStr">
        <is>
          <t>LAXÅ</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45424-2025</t>
        </is>
      </c>
      <c r="B139" t="inlineStr">
        <is>
          <t>avverkningsanmälan</t>
        </is>
      </c>
      <c r="C139" t="inlineStr">
        <is>
          <t>Föryngringsavverkning</t>
        </is>
      </c>
      <c r="D139" s="1" t="n">
        <v>45920</v>
      </c>
      <c r="E139" s="1" t="n">
        <v>46217</v>
      </c>
      <c r="F139" t="inlineStr">
        <is>
          <t>ÖREBRO LÄN</t>
        </is>
      </c>
      <c r="G139" t="inlineStr">
        <is>
          <t>LAXÅ</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22381-2025</t>
        </is>
      </c>
      <c r="B140" t="inlineStr">
        <is>
          <t>avverkningsanmälan</t>
        </is>
      </c>
      <c r="C140" t="inlineStr">
        <is>
          <t>Föryngringsavverkning</t>
        </is>
      </c>
      <c r="D140" s="1" t="n">
        <v>45786</v>
      </c>
      <c r="E140" s="1" t="n">
        <v>46217</v>
      </c>
      <c r="F140" t="inlineStr">
        <is>
          <t>ÖREBRO LÄN</t>
        </is>
      </c>
      <c r="G140" t="inlineStr">
        <is>
          <t>LAXÅ</t>
        </is>
      </c>
      <c r="H140" t="inlineStr">
        <is>
          <t>Sveaskog</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16682-2024</t>
        </is>
      </c>
      <c r="B141" t="inlineStr">
        <is>
          <t>avverkningsanmälan</t>
        </is>
      </c>
      <c r="C141" t="inlineStr">
        <is>
          <t>Föryngringsavverkning</t>
        </is>
      </c>
      <c r="D141" s="1" t="n">
        <v>45408</v>
      </c>
      <c r="E141" s="1" t="n">
        <v>46217</v>
      </c>
      <c r="F141" t="inlineStr">
        <is>
          <t>ÖREBRO LÄN</t>
        </is>
      </c>
      <c r="G141" t="inlineStr">
        <is>
          <t>LAXÅ</t>
        </is>
      </c>
      <c r="H141" t="inlineStr">
        <is>
          <t>Allmännings- och besparingsskogar</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33692-2023</t>
        </is>
      </c>
      <c r="B142" t="inlineStr">
        <is>
          <t>avverkningsanmälan</t>
        </is>
      </c>
      <c r="C142" t="inlineStr">
        <is>
          <t>Föryngringsavverkning</t>
        </is>
      </c>
      <c r="D142" s="1" t="n">
        <v>45132</v>
      </c>
      <c r="E142" s="1" t="n">
        <v>46217</v>
      </c>
      <c r="F142" t="inlineStr">
        <is>
          <t>ÖREBRO LÄN</t>
        </is>
      </c>
      <c r="G142" t="inlineStr">
        <is>
          <t>LAXÅ</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33696-2023</t>
        </is>
      </c>
      <c r="B143" t="inlineStr">
        <is>
          <t>avverkningsanmälan</t>
        </is>
      </c>
      <c r="C143" t="inlineStr">
        <is>
          <t>Föryngringsavverkning</t>
        </is>
      </c>
      <c r="D143" s="1" t="n">
        <v>45132</v>
      </c>
      <c r="E143" s="1" t="n">
        <v>46217</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57521-2023</t>
        </is>
      </c>
      <c r="B144" t="inlineStr">
        <is>
          <t>avverkningsanmälan</t>
        </is>
      </c>
      <c r="C144" t="inlineStr">
        <is>
          <t>Föryngringsavverkning</t>
        </is>
      </c>
      <c r="D144" s="1" t="n">
        <v>45240</v>
      </c>
      <c r="E144" s="1" t="n">
        <v>46217</v>
      </c>
      <c r="F144" t="inlineStr">
        <is>
          <t>ÖREBRO LÄN</t>
        </is>
      </c>
      <c r="G144" t="inlineStr">
        <is>
          <t>LAXÅ</t>
        </is>
      </c>
      <c r="I144" t="n">
        <v>4.2</v>
      </c>
      <c r="J144" t="n">
        <v>0</v>
      </c>
      <c r="K144" t="n">
        <v>0</v>
      </c>
      <c r="L144" t="n">
        <v>0</v>
      </c>
      <c r="M144" t="n">
        <v>0</v>
      </c>
      <c r="N144" t="n">
        <v>0</v>
      </c>
      <c r="O144" t="n">
        <v>0</v>
      </c>
      <c r="P144" t="n">
        <v>0</v>
      </c>
      <c r="Q144" t="n">
        <v>0</v>
      </c>
      <c r="R144" t="n">
        <v>0</v>
      </c>
      <c r="S144" t="n">
        <v>0</v>
      </c>
      <c r="T144" t="n">
        <v>0</v>
      </c>
      <c r="U144" s="2" t="inlineStr"/>
    </row>
    <row r="145" ht="15" customHeight="1">
      <c r="A145" t="inlineStr">
        <is>
          <t>A 57534-2023</t>
        </is>
      </c>
      <c r="B145" t="inlineStr">
        <is>
          <t>avverkningsanmälan</t>
        </is>
      </c>
      <c r="C145" t="inlineStr">
        <is>
          <t>Föryngringsavverkning</t>
        </is>
      </c>
      <c r="D145" s="1" t="n">
        <v>45240</v>
      </c>
      <c r="E145" s="1" t="n">
        <v>46217</v>
      </c>
      <c r="F145" t="inlineStr">
        <is>
          <t>ÖREBRO LÄN</t>
        </is>
      </c>
      <c r="G145" t="inlineStr">
        <is>
          <t>LAXÅ</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15650-2023</t>
        </is>
      </c>
      <c r="B146" t="inlineStr">
        <is>
          <t>avverkningsanmälan</t>
        </is>
      </c>
      <c r="C146" t="inlineStr">
        <is>
          <t>Föryngringsavverkning</t>
        </is>
      </c>
      <c r="D146" s="1" t="n">
        <v>45021</v>
      </c>
      <c r="E146" s="1" t="n">
        <v>46217</v>
      </c>
      <c r="F146" t="inlineStr">
        <is>
          <t>ÖREBRO LÄN</t>
        </is>
      </c>
      <c r="G146" t="inlineStr">
        <is>
          <t>LAXÅ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11139-2023</t>
        </is>
      </c>
      <c r="B147" t="inlineStr">
        <is>
          <t>avverkningsanmälan</t>
        </is>
      </c>
      <c r="C147" t="inlineStr">
        <is>
          <t>Föryngringsavverkning</t>
        </is>
      </c>
      <c r="D147" s="1" t="n">
        <v>44987</v>
      </c>
      <c r="E147" s="1" t="n">
        <v>46217</v>
      </c>
      <c r="F147" t="inlineStr">
        <is>
          <t>ÖREBRO LÄN</t>
        </is>
      </c>
      <c r="G147" t="inlineStr">
        <is>
          <t>LAXÅ</t>
        </is>
      </c>
      <c r="I147" t="n">
        <v>4.1</v>
      </c>
      <c r="J147" t="n">
        <v>0</v>
      </c>
      <c r="K147" t="n">
        <v>0</v>
      </c>
      <c r="L147" t="n">
        <v>0</v>
      </c>
      <c r="M147" t="n">
        <v>0</v>
      </c>
      <c r="N147" t="n">
        <v>0</v>
      </c>
      <c r="O147" t="n">
        <v>0</v>
      </c>
      <c r="P147" t="n">
        <v>0</v>
      </c>
      <c r="Q147" t="n">
        <v>0</v>
      </c>
      <c r="R147" t="n">
        <v>0</v>
      </c>
      <c r="S147" t="n">
        <v>0</v>
      </c>
      <c r="T147" t="n">
        <v>0</v>
      </c>
      <c r="U147" s="2" t="inlineStr"/>
    </row>
    <row r="148" ht="15" customHeight="1">
      <c r="A148" t="inlineStr">
        <is>
          <t>A 25921-2026</t>
        </is>
      </c>
      <c r="B148" t="inlineStr">
        <is>
          <t>avverkningsanmälan</t>
        </is>
      </c>
      <c r="C148" t="inlineStr">
        <is>
          <t>Föryngringsavverkning</t>
        </is>
      </c>
      <c r="D148" s="1" t="n">
        <v>46178</v>
      </c>
      <c r="E148" s="1" t="n">
        <v>46217</v>
      </c>
      <c r="F148" t="inlineStr">
        <is>
          <t>ÖREBRO LÄN</t>
        </is>
      </c>
      <c r="G148" t="inlineStr">
        <is>
          <t>LAXÅ</t>
        </is>
      </c>
      <c r="H148" t="inlineStr">
        <is>
          <t>Sveaskog</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25920-2026</t>
        </is>
      </c>
      <c r="B149" t="inlineStr">
        <is>
          <t>avverkningsanmälan</t>
        </is>
      </c>
      <c r="C149" t="inlineStr">
        <is>
          <t>Föryngringsavverkning</t>
        </is>
      </c>
      <c r="D149" s="1" t="n">
        <v>46178</v>
      </c>
      <c r="E149" s="1" t="n">
        <v>46217</v>
      </c>
      <c r="F149" t="inlineStr">
        <is>
          <t>ÖREBRO LÄN</t>
        </is>
      </c>
      <c r="G149" t="inlineStr">
        <is>
          <t>LAXÅ</t>
        </is>
      </c>
      <c r="H149" t="inlineStr">
        <is>
          <t>Sveaskog</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35850-2024</t>
        </is>
      </c>
      <c r="B150" t="inlineStr">
        <is>
          <t>avverkningsanmälan</t>
        </is>
      </c>
      <c r="C150" t="inlineStr">
        <is>
          <t>Föryngringsavverkning</t>
        </is>
      </c>
      <c r="D150" s="1" t="n">
        <v>45532</v>
      </c>
      <c r="E150" s="1" t="n">
        <v>46217</v>
      </c>
      <c r="F150" t="inlineStr">
        <is>
          <t>ÖREBRO LÄN</t>
        </is>
      </c>
      <c r="G150" t="inlineStr">
        <is>
          <t>LAXÅ</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54411-2022</t>
        </is>
      </c>
      <c r="B151" t="inlineStr">
        <is>
          <t>avverkningsanmälan</t>
        </is>
      </c>
      <c r="C151" t="inlineStr">
        <is>
          <t>Föryngringsavverkning</t>
        </is>
      </c>
      <c r="D151" s="1" t="n">
        <v>44879</v>
      </c>
      <c r="E151" s="1" t="n">
        <v>46217</v>
      </c>
      <c r="F151" t="inlineStr">
        <is>
          <t>ÖREBRO LÄN</t>
        </is>
      </c>
      <c r="G151" t="inlineStr">
        <is>
          <t>LAXÅ</t>
        </is>
      </c>
      <c r="I151" t="n">
        <v>2.7</v>
      </c>
      <c r="J151" t="n">
        <v>0</v>
      </c>
      <c r="K151" t="n">
        <v>0</v>
      </c>
      <c r="L151" t="n">
        <v>0</v>
      </c>
      <c r="M151" t="n">
        <v>0</v>
      </c>
      <c r="N151" t="n">
        <v>0</v>
      </c>
      <c r="O151" t="n">
        <v>0</v>
      </c>
      <c r="P151" t="n">
        <v>0</v>
      </c>
      <c r="Q151" t="n">
        <v>0</v>
      </c>
      <c r="R151" t="n">
        <v>0</v>
      </c>
      <c r="S151" t="n">
        <v>0</v>
      </c>
      <c r="T151" t="n">
        <v>0</v>
      </c>
      <c r="U151" s="2" t="inlineStr"/>
    </row>
    <row r="152" ht="15" customHeight="1">
      <c r="A152" t="inlineStr">
        <is>
          <t>A 33186-2023</t>
        </is>
      </c>
      <c r="B152" t="inlineStr">
        <is>
          <t>avverkningsanmälan</t>
        </is>
      </c>
      <c r="C152" t="inlineStr">
        <is>
          <t>Föryngringsavverkning</t>
        </is>
      </c>
      <c r="D152" s="1" t="n">
        <v>45127</v>
      </c>
      <c r="E152" s="1" t="n">
        <v>46217</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15380-2025</t>
        </is>
      </c>
      <c r="B153" t="inlineStr">
        <is>
          <t>avverkningsanmälan</t>
        </is>
      </c>
      <c r="C153" t="inlineStr">
        <is>
          <t>Föryngringsavverkning</t>
        </is>
      </c>
      <c r="D153" s="1" t="n">
        <v>45747</v>
      </c>
      <c r="E153" s="1" t="n">
        <v>46217</v>
      </c>
      <c r="F153" t="inlineStr">
        <is>
          <t>ÖREBRO LÄN</t>
        </is>
      </c>
      <c r="G153" t="inlineStr">
        <is>
          <t>LAXÅ</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13102-2025</t>
        </is>
      </c>
      <c r="B154" t="inlineStr">
        <is>
          <t>avverkningsanmälan</t>
        </is>
      </c>
      <c r="C154" t="inlineStr">
        <is>
          <t>Föryngringsavverkning</t>
        </is>
      </c>
      <c r="D154" s="1" t="n">
        <v>45734</v>
      </c>
      <c r="E154" s="1" t="n">
        <v>46217</v>
      </c>
      <c r="F154" t="inlineStr">
        <is>
          <t>ÖREBRO LÄN</t>
        </is>
      </c>
      <c r="G154" t="inlineStr">
        <is>
          <t>LAXÅ</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28396-2025</t>
        </is>
      </c>
      <c r="B155" t="inlineStr">
        <is>
          <t>avverkningsanmälan</t>
        </is>
      </c>
      <c r="C155" t="inlineStr">
        <is>
          <t>Föryngringsavverkning</t>
        </is>
      </c>
      <c r="D155" s="1" t="n">
        <v>45819</v>
      </c>
      <c r="E155" s="1" t="n">
        <v>46217</v>
      </c>
      <c r="F155" t="inlineStr">
        <is>
          <t>ÖREBRO LÄN</t>
        </is>
      </c>
      <c r="G155" t="inlineStr">
        <is>
          <t>LAXÅ</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51462-2025</t>
        </is>
      </c>
      <c r="B156" t="inlineStr">
        <is>
          <t>avverkningsanmälan</t>
        </is>
      </c>
      <c r="C156" t="inlineStr">
        <is>
          <t>Föryngringsavverkning</t>
        </is>
      </c>
      <c r="D156" s="1" t="n">
        <v>45950</v>
      </c>
      <c r="E156" s="1" t="n">
        <v>46217</v>
      </c>
      <c r="F156" t="inlineStr">
        <is>
          <t>ÖREBRO LÄN</t>
        </is>
      </c>
      <c r="G156" t="inlineStr">
        <is>
          <t>LAXÅ</t>
        </is>
      </c>
      <c r="H156" t="inlineStr">
        <is>
          <t>Sveaskog</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57515-2023</t>
        </is>
      </c>
      <c r="B157" t="inlineStr">
        <is>
          <t>avverkningsanmälan</t>
        </is>
      </c>
      <c r="C157" t="inlineStr">
        <is>
          <t>Föryngringsavverkning</t>
        </is>
      </c>
      <c r="D157" s="1" t="n">
        <v>45240</v>
      </c>
      <c r="E157" s="1" t="n">
        <v>46217</v>
      </c>
      <c r="F157" t="inlineStr">
        <is>
          <t>ÖREBRO LÄN</t>
        </is>
      </c>
      <c r="G157" t="inlineStr">
        <is>
          <t>LAXÅ</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19816-2025</t>
        </is>
      </c>
      <c r="B158" t="inlineStr">
        <is>
          <t>avverkningsanmälan</t>
        </is>
      </c>
      <c r="C158" t="inlineStr">
        <is>
          <t>Föryngringsavverkning</t>
        </is>
      </c>
      <c r="D158" s="1" t="n">
        <v>45771</v>
      </c>
      <c r="E158" s="1" t="n">
        <v>46217</v>
      </c>
      <c r="F158" t="inlineStr">
        <is>
          <t>ÖREBRO LÄN</t>
        </is>
      </c>
      <c r="G158" t="inlineStr">
        <is>
          <t>LAXÅ</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19820-2025</t>
        </is>
      </c>
      <c r="B159" t="inlineStr">
        <is>
          <t>avverkningsanmälan</t>
        </is>
      </c>
      <c r="C159" t="inlineStr">
        <is>
          <t>Föryngringsavverkning</t>
        </is>
      </c>
      <c r="D159" s="1" t="n">
        <v>45771</v>
      </c>
      <c r="E159" s="1" t="n">
        <v>46217</v>
      </c>
      <c r="F159" t="inlineStr">
        <is>
          <t>ÖREBRO LÄN</t>
        </is>
      </c>
      <c r="G159" t="inlineStr">
        <is>
          <t>LAXÅ</t>
        </is>
      </c>
      <c r="H159" t="inlineStr">
        <is>
          <t>Sveaskog</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58052-2023</t>
        </is>
      </c>
      <c r="B160" t="inlineStr">
        <is>
          <t>avverkningsanmälan</t>
        </is>
      </c>
      <c r="C160" t="inlineStr">
        <is>
          <t>Föryngringsavverkning</t>
        </is>
      </c>
      <c r="D160" s="1" t="n">
        <v>45245</v>
      </c>
      <c r="E160" s="1" t="n">
        <v>46217</v>
      </c>
      <c r="F160" t="inlineStr">
        <is>
          <t>ÖREBRO LÄN</t>
        </is>
      </c>
      <c r="G160" t="inlineStr">
        <is>
          <t>LAXÅ</t>
        </is>
      </c>
      <c r="I160" t="n">
        <v>6.5</v>
      </c>
      <c r="J160" t="n">
        <v>0</v>
      </c>
      <c r="K160" t="n">
        <v>0</v>
      </c>
      <c r="L160" t="n">
        <v>0</v>
      </c>
      <c r="M160" t="n">
        <v>0</v>
      </c>
      <c r="N160" t="n">
        <v>0</v>
      </c>
      <c r="O160" t="n">
        <v>0</v>
      </c>
      <c r="P160" t="n">
        <v>0</v>
      </c>
      <c r="Q160" t="n">
        <v>0</v>
      </c>
      <c r="R160" t="n">
        <v>0</v>
      </c>
      <c r="S160" t="n">
        <v>0</v>
      </c>
      <c r="T160" t="n">
        <v>0</v>
      </c>
      <c r="U160" s="2" t="inlineStr"/>
    </row>
    <row r="161" ht="15" customHeight="1">
      <c r="A161" t="inlineStr">
        <is>
          <t>A 62405-2021</t>
        </is>
      </c>
      <c r="B161" t="inlineStr">
        <is>
          <t>avverkningsanmälan</t>
        </is>
      </c>
      <c r="C161" t="inlineStr">
        <is>
          <t>Föryngringsavverkning</t>
        </is>
      </c>
      <c r="D161" s="1" t="n">
        <v>44503</v>
      </c>
      <c r="E161" s="1" t="n">
        <v>46217</v>
      </c>
      <c r="F161" t="inlineStr">
        <is>
          <t>ÖREBRO LÄN</t>
        </is>
      </c>
      <c r="G161" t="inlineStr">
        <is>
          <t>LAXÅ</t>
        </is>
      </c>
      <c r="H161" t="inlineStr">
        <is>
          <t>Sveaskog</t>
        </is>
      </c>
      <c r="I161" t="n">
        <v>5.3</v>
      </c>
      <c r="J161" t="n">
        <v>0</v>
      </c>
      <c r="K161" t="n">
        <v>0</v>
      </c>
      <c r="L161" t="n">
        <v>0</v>
      </c>
      <c r="M161" t="n">
        <v>0</v>
      </c>
      <c r="N161" t="n">
        <v>0</v>
      </c>
      <c r="O161" t="n">
        <v>0</v>
      </c>
      <c r="P161" t="n">
        <v>0</v>
      </c>
      <c r="Q161" t="n">
        <v>0</v>
      </c>
      <c r="R161" t="n">
        <v>0</v>
      </c>
      <c r="S161" t="n">
        <v>0</v>
      </c>
      <c r="T161" t="n">
        <v>0</v>
      </c>
      <c r="U161" s="2" t="inlineStr"/>
    </row>
    <row r="162" ht="15" customHeight="1">
      <c r="A162" t="inlineStr">
        <is>
          <t>A 60748-2023</t>
        </is>
      </c>
      <c r="B162" t="inlineStr">
        <is>
          <t>avverkningsanmälan</t>
        </is>
      </c>
      <c r="C162" t="inlineStr">
        <is>
          <t>Föryngringsavverkning</t>
        </is>
      </c>
      <c r="D162" s="1" t="n">
        <v>45260</v>
      </c>
      <c r="E162" s="1" t="n">
        <v>46217</v>
      </c>
      <c r="F162" t="inlineStr">
        <is>
          <t>ÖREBRO LÄN</t>
        </is>
      </c>
      <c r="G162" t="inlineStr">
        <is>
          <t>LAXÅ</t>
        </is>
      </c>
      <c r="H162" t="inlineStr">
        <is>
          <t>Sveaskog</t>
        </is>
      </c>
      <c r="I162" t="n">
        <v>3</v>
      </c>
      <c r="J162" t="n">
        <v>0</v>
      </c>
      <c r="K162" t="n">
        <v>0</v>
      </c>
      <c r="L162" t="n">
        <v>0</v>
      </c>
      <c r="M162" t="n">
        <v>0</v>
      </c>
      <c r="N162" t="n">
        <v>0</v>
      </c>
      <c r="O162" t="n">
        <v>0</v>
      </c>
      <c r="P162" t="n">
        <v>0</v>
      </c>
      <c r="Q162" t="n">
        <v>0</v>
      </c>
      <c r="R162" t="n">
        <v>0</v>
      </c>
      <c r="S162" t="n">
        <v>0</v>
      </c>
      <c r="T162" t="n">
        <v>0</v>
      </c>
      <c r="U162" s="2" t="inlineStr"/>
    </row>
    <row r="163" ht="15" customHeight="1">
      <c r="A163" t="inlineStr">
        <is>
          <t>A 46487-2021</t>
        </is>
      </c>
      <c r="B163" t="inlineStr">
        <is>
          <t>avverkningsanmälan</t>
        </is>
      </c>
      <c r="C163" t="inlineStr">
        <is>
          <t>Föryngringsavverkning</t>
        </is>
      </c>
      <c r="D163" s="1" t="n">
        <v>44445</v>
      </c>
      <c r="E163" s="1" t="n">
        <v>46217</v>
      </c>
      <c r="F163" t="inlineStr">
        <is>
          <t>ÖREBRO LÄN</t>
        </is>
      </c>
      <c r="G163" t="inlineStr">
        <is>
          <t>LAXÅ</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53092-2025</t>
        </is>
      </c>
      <c r="B164" t="inlineStr">
        <is>
          <t>avverkningsanmälan</t>
        </is>
      </c>
      <c r="C164" t="inlineStr">
        <is>
          <t>Föryngringsavverkning</t>
        </is>
      </c>
      <c r="D164" s="1" t="n">
        <v>45958</v>
      </c>
      <c r="E164" s="1" t="n">
        <v>46217</v>
      </c>
      <c r="F164" t="inlineStr">
        <is>
          <t>ÖREBRO LÄN</t>
        </is>
      </c>
      <c r="G164" t="inlineStr">
        <is>
          <t>LAXÅ</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55207-2021</t>
        </is>
      </c>
      <c r="B165" t="inlineStr">
        <is>
          <t>avverkningsanmälan</t>
        </is>
      </c>
      <c r="C165" t="inlineStr">
        <is>
          <t>Föryngringsavverkning</t>
        </is>
      </c>
      <c r="D165" s="1" t="n">
        <v>44475</v>
      </c>
      <c r="E165" s="1" t="n">
        <v>46217</v>
      </c>
      <c r="F165" t="inlineStr">
        <is>
          <t>ÖREBRO LÄN</t>
        </is>
      </c>
      <c r="G165" t="inlineStr">
        <is>
          <t>LAXÅ</t>
        </is>
      </c>
      <c r="H165" t="inlineStr">
        <is>
          <t>Sveaskog</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36889-2021</t>
        </is>
      </c>
      <c r="B166" t="inlineStr">
        <is>
          <t>avverkningsanmälan</t>
        </is>
      </c>
      <c r="C166" t="inlineStr">
        <is>
          <t>Föryngringsavverkning</t>
        </is>
      </c>
      <c r="D166" s="1" t="n">
        <v>44393</v>
      </c>
      <c r="E166" s="1" t="n">
        <v>46217</v>
      </c>
      <c r="F166" t="inlineStr">
        <is>
          <t>ÖREBRO LÄN</t>
        </is>
      </c>
      <c r="G166" t="inlineStr">
        <is>
          <t>LAXÅ</t>
        </is>
      </c>
      <c r="H166" t="inlineStr">
        <is>
          <t>Sveaskog</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57806-2021</t>
        </is>
      </c>
      <c r="B167" t="inlineStr">
        <is>
          <t>avverkningsanmälan</t>
        </is>
      </c>
      <c r="C167" t="inlineStr">
        <is>
          <t>Föryngringsavverkning</t>
        </is>
      </c>
      <c r="D167" s="1" t="n">
        <v>44484</v>
      </c>
      <c r="E167" s="1" t="n">
        <v>46217</v>
      </c>
      <c r="F167" t="inlineStr">
        <is>
          <t>ÖREBRO LÄN</t>
        </is>
      </c>
      <c r="G167" t="inlineStr">
        <is>
          <t>LAXÅ</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25744-2023</t>
        </is>
      </c>
      <c r="B168" t="inlineStr">
        <is>
          <t>avverkningsanmälan</t>
        </is>
      </c>
      <c r="C168" t="inlineStr">
        <is>
          <t>Föryngringsavverkning</t>
        </is>
      </c>
      <c r="D168" s="1" t="n">
        <v>45090</v>
      </c>
      <c r="E168" s="1" t="n">
        <v>46217</v>
      </c>
      <c r="F168" t="inlineStr">
        <is>
          <t>ÖREBRO LÄN</t>
        </is>
      </c>
      <c r="G168" t="inlineStr">
        <is>
          <t>LAXÅ</t>
        </is>
      </c>
      <c r="H168" t="inlineStr">
        <is>
          <t>Sveaskog</t>
        </is>
      </c>
      <c r="I168" t="n">
        <v>3.2</v>
      </c>
      <c r="J168" t="n">
        <v>0</v>
      </c>
      <c r="K168" t="n">
        <v>0</v>
      </c>
      <c r="L168" t="n">
        <v>0</v>
      </c>
      <c r="M168" t="n">
        <v>0</v>
      </c>
      <c r="N168" t="n">
        <v>0</v>
      </c>
      <c r="O168" t="n">
        <v>0</v>
      </c>
      <c r="P168" t="n">
        <v>0</v>
      </c>
      <c r="Q168" t="n">
        <v>0</v>
      </c>
      <c r="R168" t="n">
        <v>0</v>
      </c>
      <c r="S168" t="n">
        <v>0</v>
      </c>
      <c r="T168" t="n">
        <v>0</v>
      </c>
      <c r="U168" s="2" t="inlineStr"/>
    </row>
    <row r="169" ht="15" customHeight="1">
      <c r="A169" t="inlineStr">
        <is>
          <t>A 57747-2022</t>
        </is>
      </c>
      <c r="B169" t="inlineStr">
        <is>
          <t>avverkningsanmälan</t>
        </is>
      </c>
      <c r="C169" t="inlineStr">
        <is>
          <t>Föryngringsavverkning</t>
        </is>
      </c>
      <c r="D169" s="1" t="n">
        <v>44897</v>
      </c>
      <c r="E169" s="1" t="n">
        <v>46217</v>
      </c>
      <c r="F169" t="inlineStr">
        <is>
          <t>ÖREBRO LÄN</t>
        </is>
      </c>
      <c r="G169" t="inlineStr">
        <is>
          <t>LAXÅ</t>
        </is>
      </c>
      <c r="H169" t="inlineStr">
        <is>
          <t>Sveaskog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55202-2025</t>
        </is>
      </c>
      <c r="B170" t="inlineStr">
        <is>
          <t>avverkningsanmälan</t>
        </is>
      </c>
      <c r="C170" t="inlineStr">
        <is>
          <t>Avverkning för att bevara och utveckla /försöksver</t>
        </is>
      </c>
      <c r="D170" s="1" t="n">
        <v>45968</v>
      </c>
      <c r="E170" s="1" t="n">
        <v>46217</v>
      </c>
      <c r="F170" t="inlineStr">
        <is>
          <t>ÖREBRO LÄN</t>
        </is>
      </c>
      <c r="G170" t="inlineStr">
        <is>
          <t>LAXÅ</t>
        </is>
      </c>
      <c r="H170" t="inlineStr">
        <is>
          <t>Sveaskog</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55117-2025</t>
        </is>
      </c>
      <c r="B171" t="inlineStr">
        <is>
          <t>avverkningsanmälan</t>
        </is>
      </c>
      <c r="C171" t="inlineStr">
        <is>
          <t>Föryngringsavverkning</t>
        </is>
      </c>
      <c r="D171" s="1" t="n">
        <v>45968</v>
      </c>
      <c r="E171" s="1" t="n">
        <v>46217</v>
      </c>
      <c r="F171" t="inlineStr">
        <is>
          <t>ÖREBRO LÄN</t>
        </is>
      </c>
      <c r="G171" t="inlineStr">
        <is>
          <t>LAXÅ</t>
        </is>
      </c>
      <c r="H171" t="inlineStr">
        <is>
          <t>Sveaskog</t>
        </is>
      </c>
      <c r="I171" t="n">
        <v>13.5</v>
      </c>
      <c r="J171" t="n">
        <v>0</v>
      </c>
      <c r="K171" t="n">
        <v>0</v>
      </c>
      <c r="L171" t="n">
        <v>0</v>
      </c>
      <c r="M171" t="n">
        <v>0</v>
      </c>
      <c r="N171" t="n">
        <v>0</v>
      </c>
      <c r="O171" t="n">
        <v>0</v>
      </c>
      <c r="P171" t="n">
        <v>0</v>
      </c>
      <c r="Q171" t="n">
        <v>0</v>
      </c>
      <c r="R171" t="n">
        <v>0</v>
      </c>
      <c r="S171" t="n">
        <v>0</v>
      </c>
      <c r="T171" t="n">
        <v>0</v>
      </c>
      <c r="U171" s="2" t="inlineStr"/>
    </row>
    <row r="172" ht="15" customHeight="1">
      <c r="A172" t="inlineStr">
        <is>
          <t>A 25922-2026</t>
        </is>
      </c>
      <c r="B172" t="inlineStr">
        <is>
          <t>avverkningsanmälan</t>
        </is>
      </c>
      <c r="C172" t="inlineStr">
        <is>
          <t>Föryngringsavverkning</t>
        </is>
      </c>
      <c r="D172" s="1" t="n">
        <v>46178</v>
      </c>
      <c r="E172" s="1" t="n">
        <v>46217</v>
      </c>
      <c r="F172" t="inlineStr">
        <is>
          <t>ÖREBRO LÄN</t>
        </is>
      </c>
      <c r="G172" t="inlineStr">
        <is>
          <t>LAXÅ</t>
        </is>
      </c>
      <c r="H172" t="inlineStr">
        <is>
          <t>Sveaskog</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55484-2024</t>
        </is>
      </c>
      <c r="B173" t="inlineStr">
        <is>
          <t>avverkningsanmälan</t>
        </is>
      </c>
      <c r="C173" t="inlineStr">
        <is>
          <t>Föryngringsavverkning</t>
        </is>
      </c>
      <c r="D173" s="1" t="n">
        <v>45622</v>
      </c>
      <c r="E173" s="1" t="n">
        <v>46217</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46134-2021</t>
        </is>
      </c>
      <c r="B174" t="inlineStr">
        <is>
          <t>avverkningsanmälan</t>
        </is>
      </c>
      <c r="C174" t="inlineStr">
        <is>
          <t>Föryngringsavverkning</t>
        </is>
      </c>
      <c r="D174" s="1" t="n">
        <v>44441</v>
      </c>
      <c r="E174" s="1" t="n">
        <v>46217</v>
      </c>
      <c r="F174" t="inlineStr">
        <is>
          <t>ÖREBRO LÄN</t>
        </is>
      </c>
      <c r="G174" t="inlineStr">
        <is>
          <t>LAXÅ</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25926-2026</t>
        </is>
      </c>
      <c r="B175" t="inlineStr">
        <is>
          <t>avverkningsanmälan</t>
        </is>
      </c>
      <c r="C175" t="inlineStr">
        <is>
          <t>Föryngringsavverkning</t>
        </is>
      </c>
      <c r="D175" s="1" t="n">
        <v>46178</v>
      </c>
      <c r="E175" s="1" t="n">
        <v>46217</v>
      </c>
      <c r="F175" t="inlineStr">
        <is>
          <t>ÖREBRO LÄN</t>
        </is>
      </c>
      <c r="G175" t="inlineStr">
        <is>
          <t>LAXÅ</t>
        </is>
      </c>
      <c r="H175" t="inlineStr">
        <is>
          <t>Sveaskog</t>
        </is>
      </c>
      <c r="I175" t="n">
        <v>3.3</v>
      </c>
      <c r="J175" t="n">
        <v>0</v>
      </c>
      <c r="K175" t="n">
        <v>0</v>
      </c>
      <c r="L175" t="n">
        <v>0</v>
      </c>
      <c r="M175" t="n">
        <v>0</v>
      </c>
      <c r="N175" t="n">
        <v>0</v>
      </c>
      <c r="O175" t="n">
        <v>0</v>
      </c>
      <c r="P175" t="n">
        <v>0</v>
      </c>
      <c r="Q175" t="n">
        <v>0</v>
      </c>
      <c r="R175" t="n">
        <v>0</v>
      </c>
      <c r="S175" t="n">
        <v>0</v>
      </c>
      <c r="T175" t="n">
        <v>0</v>
      </c>
      <c r="U175" s="2" t="inlineStr"/>
    </row>
    <row r="176" ht="15" customHeight="1">
      <c r="A176" t="inlineStr">
        <is>
          <t>A 56135-2022</t>
        </is>
      </c>
      <c r="B176" t="inlineStr">
        <is>
          <t>avverkningsanmälan</t>
        </is>
      </c>
      <c r="C176" t="inlineStr">
        <is>
          <t>Föryngringsavverkning</t>
        </is>
      </c>
      <c r="D176" s="1" t="n">
        <v>44886</v>
      </c>
      <c r="E176" s="1" t="n">
        <v>46217</v>
      </c>
      <c r="F176" t="inlineStr">
        <is>
          <t>ÖREBRO LÄN</t>
        </is>
      </c>
      <c r="G176" t="inlineStr">
        <is>
          <t>LAXÅ</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54901-2025</t>
        </is>
      </c>
      <c r="B177" t="inlineStr">
        <is>
          <t>avverkningsanmälan</t>
        </is>
      </c>
      <c r="C177" t="inlineStr">
        <is>
          <t>Föryngringsavverkning</t>
        </is>
      </c>
      <c r="D177" s="1" t="n">
        <v>45967</v>
      </c>
      <c r="E177" s="1" t="n">
        <v>46217</v>
      </c>
      <c r="F177" t="inlineStr">
        <is>
          <t>ÖREBRO LÄN</t>
        </is>
      </c>
      <c r="G177" t="inlineStr">
        <is>
          <t>LAXÅ</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33695-2023</t>
        </is>
      </c>
      <c r="B178" t="inlineStr">
        <is>
          <t>avverkningsanmälan</t>
        </is>
      </c>
      <c r="C178" t="inlineStr">
        <is>
          <t>Föryngringsavverkning</t>
        </is>
      </c>
      <c r="D178" s="1" t="n">
        <v>45132</v>
      </c>
      <c r="E178" s="1" t="n">
        <v>46217</v>
      </c>
      <c r="F178" t="inlineStr">
        <is>
          <t>ÖREBRO LÄN</t>
        </is>
      </c>
      <c r="G178" t="inlineStr">
        <is>
          <t>LAXÅ</t>
        </is>
      </c>
      <c r="I178" t="n">
        <v>6.9</v>
      </c>
      <c r="J178" t="n">
        <v>0</v>
      </c>
      <c r="K178" t="n">
        <v>0</v>
      </c>
      <c r="L178" t="n">
        <v>0</v>
      </c>
      <c r="M178" t="n">
        <v>0</v>
      </c>
      <c r="N178" t="n">
        <v>0</v>
      </c>
      <c r="O178" t="n">
        <v>0</v>
      </c>
      <c r="P178" t="n">
        <v>0</v>
      </c>
      <c r="Q178" t="n">
        <v>0</v>
      </c>
      <c r="R178" t="n">
        <v>0</v>
      </c>
      <c r="S178" t="n">
        <v>0</v>
      </c>
      <c r="T178" t="n">
        <v>0</v>
      </c>
      <c r="U178" s="2" t="inlineStr"/>
    </row>
    <row r="179" ht="15" customHeight="1">
      <c r="A179" t="inlineStr">
        <is>
          <t>A 20943-2026</t>
        </is>
      </c>
      <c r="B179" t="inlineStr">
        <is>
          <t>avverkningsanmälan</t>
        </is>
      </c>
      <c r="C179" t="inlineStr">
        <is>
          <t>Föryngringsavverkning</t>
        </is>
      </c>
      <c r="D179" s="1" t="n">
        <v>46142</v>
      </c>
      <c r="E179" s="1" t="n">
        <v>46217</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52751-2021</t>
        </is>
      </c>
      <c r="B180" t="inlineStr">
        <is>
          <t>avverkningsanmälan</t>
        </is>
      </c>
      <c r="C180" t="inlineStr">
        <is>
          <t>Avverkning för att bevara och utveckla /försöksver</t>
        </is>
      </c>
      <c r="D180" s="1" t="n">
        <v>44467</v>
      </c>
      <c r="E180" s="1" t="n">
        <v>46217</v>
      </c>
      <c r="F180" t="inlineStr">
        <is>
          <t>ÖREBRO LÄN</t>
        </is>
      </c>
      <c r="G180" t="inlineStr">
        <is>
          <t>LAXÅ</t>
        </is>
      </c>
      <c r="H180" t="inlineStr">
        <is>
          <t>Sveaskog</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15213-2024</t>
        </is>
      </c>
      <c r="B181" t="inlineStr">
        <is>
          <t>avverkningsanmälan</t>
        </is>
      </c>
      <c r="C181" t="inlineStr">
        <is>
          <t>Föryngringsavverkning</t>
        </is>
      </c>
      <c r="D181" s="1" t="n">
        <v>45400</v>
      </c>
      <c r="E181" s="1" t="n">
        <v>46217</v>
      </c>
      <c r="F181" t="inlineStr">
        <is>
          <t>ÖREBRO LÄN</t>
        </is>
      </c>
      <c r="G181" t="inlineStr">
        <is>
          <t>LAXÅ</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14205-2025</t>
        </is>
      </c>
      <c r="B182" t="inlineStr">
        <is>
          <t>avverkningsanmälan</t>
        </is>
      </c>
      <c r="C182" t="inlineStr">
        <is>
          <t>Avverkning för att bevara och utveckla /försöksver</t>
        </is>
      </c>
      <c r="D182" s="1" t="n">
        <v>45740</v>
      </c>
      <c r="E182" s="1" t="n">
        <v>46217</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6305-2024</t>
        </is>
      </c>
      <c r="B183" t="inlineStr">
        <is>
          <t>avverkningsanmälan</t>
        </is>
      </c>
      <c r="C183" t="inlineStr">
        <is>
          <t>Föryngringsavverkning</t>
        </is>
      </c>
      <c r="D183" s="1" t="n">
        <v>45338</v>
      </c>
      <c r="E183" s="1" t="n">
        <v>46217</v>
      </c>
      <c r="F183" t="inlineStr">
        <is>
          <t>ÖREBRO LÄN</t>
        </is>
      </c>
      <c r="G183" t="inlineStr">
        <is>
          <t>LAXÅ</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56668-2025</t>
        </is>
      </c>
      <c r="B184" t="inlineStr">
        <is>
          <t>avverkningsanmälan</t>
        </is>
      </c>
      <c r="C184" t="inlineStr">
        <is>
          <t>Föryngringsavverkning</t>
        </is>
      </c>
      <c r="D184" s="1" t="n">
        <v>45975</v>
      </c>
      <c r="E184" s="1" t="n">
        <v>46217</v>
      </c>
      <c r="F184" t="inlineStr">
        <is>
          <t>ÖREBRO LÄN</t>
        </is>
      </c>
      <c r="G184" t="inlineStr">
        <is>
          <t>LAXÅ</t>
        </is>
      </c>
      <c r="I184" t="n">
        <v>18.1</v>
      </c>
      <c r="J184" t="n">
        <v>0</v>
      </c>
      <c r="K184" t="n">
        <v>0</v>
      </c>
      <c r="L184" t="n">
        <v>0</v>
      </c>
      <c r="M184" t="n">
        <v>0</v>
      </c>
      <c r="N184" t="n">
        <v>0</v>
      </c>
      <c r="O184" t="n">
        <v>0</v>
      </c>
      <c r="P184" t="n">
        <v>0</v>
      </c>
      <c r="Q184" t="n">
        <v>0</v>
      </c>
      <c r="R184" t="n">
        <v>0</v>
      </c>
      <c r="S184" t="n">
        <v>0</v>
      </c>
      <c r="T184" t="n">
        <v>0</v>
      </c>
      <c r="U184" s="2" t="inlineStr"/>
    </row>
    <row r="185" ht="15" customHeight="1">
      <c r="A185" t="inlineStr">
        <is>
          <t>A 36420-2024</t>
        </is>
      </c>
      <c r="B185" t="inlineStr">
        <is>
          <t>avverkningsanmälan</t>
        </is>
      </c>
      <c r="C185" t="inlineStr">
        <is>
          <t>Föryngringsavverkning</t>
        </is>
      </c>
      <c r="D185" s="1" t="n">
        <v>45536</v>
      </c>
      <c r="E185" s="1" t="n">
        <v>46217</v>
      </c>
      <c r="F185" t="inlineStr">
        <is>
          <t>ÖREBRO LÄN</t>
        </is>
      </c>
      <c r="G185" t="inlineStr">
        <is>
          <t>LAXÅ</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50265-2024</t>
        </is>
      </c>
      <c r="B186" t="inlineStr">
        <is>
          <t>avverkningsanmälan</t>
        </is>
      </c>
      <c r="C186" t="inlineStr">
        <is>
          <t>Föryngringsavverkning</t>
        </is>
      </c>
      <c r="D186" s="1" t="n">
        <v>45600</v>
      </c>
      <c r="E186" s="1" t="n">
        <v>46217</v>
      </c>
      <c r="F186" t="inlineStr">
        <is>
          <t>ÖREBRO LÄN</t>
        </is>
      </c>
      <c r="G186" t="inlineStr">
        <is>
          <t>LAXÅ</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57425-2025</t>
        </is>
      </c>
      <c r="B187" t="inlineStr">
        <is>
          <t>avverkningsanmälan</t>
        </is>
      </c>
      <c r="C187" t="inlineStr">
        <is>
          <t>Föryngringsavverkning</t>
        </is>
      </c>
      <c r="D187" s="1" t="n">
        <v>45980</v>
      </c>
      <c r="E187" s="1" t="n">
        <v>46217</v>
      </c>
      <c r="F187" t="inlineStr">
        <is>
          <t>ÖREBRO LÄN</t>
        </is>
      </c>
      <c r="G187" t="inlineStr">
        <is>
          <t>LAXÅ</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38620-2023</t>
        </is>
      </c>
      <c r="B188" t="inlineStr">
        <is>
          <t>avverkningsanmälan</t>
        </is>
      </c>
      <c r="C188" t="inlineStr">
        <is>
          <t>Föryngringsavverkning</t>
        </is>
      </c>
      <c r="D188" s="1" t="n">
        <v>45160</v>
      </c>
      <c r="E188" s="1" t="n">
        <v>46217</v>
      </c>
      <c r="F188" t="inlineStr">
        <is>
          <t>ÖREBRO LÄN</t>
        </is>
      </c>
      <c r="G188" t="inlineStr">
        <is>
          <t>LAXÅ</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26880-2026</t>
        </is>
      </c>
      <c r="B189" t="inlineStr">
        <is>
          <t>avverkningsanmälan</t>
        </is>
      </c>
      <c r="C189" t="inlineStr">
        <is>
          <t>Föryngringsavverkning</t>
        </is>
      </c>
      <c r="D189" s="1" t="n">
        <v>46185</v>
      </c>
      <c r="E189" s="1" t="n">
        <v>46217</v>
      </c>
      <c r="F189" t="inlineStr">
        <is>
          <t>ÖREBRO LÄN</t>
        </is>
      </c>
      <c r="G189" t="inlineStr">
        <is>
          <t>LAXÅ</t>
        </is>
      </c>
      <c r="H189" t="inlineStr">
        <is>
          <t>Sveaskog</t>
        </is>
      </c>
      <c r="I189" t="n">
        <v>4.5</v>
      </c>
      <c r="J189" t="n">
        <v>0</v>
      </c>
      <c r="K189" t="n">
        <v>0</v>
      </c>
      <c r="L189" t="n">
        <v>0</v>
      </c>
      <c r="M189" t="n">
        <v>0</v>
      </c>
      <c r="N189" t="n">
        <v>0</v>
      </c>
      <c r="O189" t="n">
        <v>0</v>
      </c>
      <c r="P189" t="n">
        <v>0</v>
      </c>
      <c r="Q189" t="n">
        <v>0</v>
      </c>
      <c r="R189" t="n">
        <v>0</v>
      </c>
      <c r="S189" t="n">
        <v>0</v>
      </c>
      <c r="T189" t="n">
        <v>0</v>
      </c>
      <c r="U189" s="2" t="inlineStr"/>
    </row>
    <row r="190" ht="15" customHeight="1">
      <c r="A190" t="inlineStr">
        <is>
          <t>A 58690-2025</t>
        </is>
      </c>
      <c r="B190" t="inlineStr">
        <is>
          <t>avverkningsanmälan</t>
        </is>
      </c>
      <c r="C190" t="inlineStr">
        <is>
          <t>Föryngringsavverkning</t>
        </is>
      </c>
      <c r="D190" s="1" t="n">
        <v>45986</v>
      </c>
      <c r="E190" s="1" t="n">
        <v>46217</v>
      </c>
      <c r="F190" t="inlineStr">
        <is>
          <t>ÖREBRO LÄN</t>
        </is>
      </c>
      <c r="G190" t="inlineStr">
        <is>
          <t>LAXÅ</t>
        </is>
      </c>
      <c r="H190" t="inlineStr">
        <is>
          <t>Sveaskog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26878-2026</t>
        </is>
      </c>
      <c r="B191" t="inlineStr">
        <is>
          <t>avverkningsanmälan</t>
        </is>
      </c>
      <c r="C191" t="inlineStr">
        <is>
          <t>Föryngringsavverkning</t>
        </is>
      </c>
      <c r="D191" s="1" t="n">
        <v>46185</v>
      </c>
      <c r="E191" s="1" t="n">
        <v>46217</v>
      </c>
      <c r="F191" t="inlineStr">
        <is>
          <t>ÖREBRO LÄN</t>
        </is>
      </c>
      <c r="G191" t="inlineStr">
        <is>
          <t>LAXÅ</t>
        </is>
      </c>
      <c r="H191" t="inlineStr">
        <is>
          <t>Sveaskog</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26879-2026</t>
        </is>
      </c>
      <c r="B192" t="inlineStr">
        <is>
          <t>avverkningsanmälan</t>
        </is>
      </c>
      <c r="C192" t="inlineStr">
        <is>
          <t>Föryngringsavverkning</t>
        </is>
      </c>
      <c r="D192" s="1" t="n">
        <v>46185</v>
      </c>
      <c r="E192" s="1" t="n">
        <v>46217</v>
      </c>
      <c r="F192" t="inlineStr">
        <is>
          <t>ÖREBRO LÄN</t>
        </is>
      </c>
      <c r="G192" t="inlineStr">
        <is>
          <t>LAXÅ</t>
        </is>
      </c>
      <c r="H192" t="inlineStr">
        <is>
          <t>Sveaskog</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26877-2026</t>
        </is>
      </c>
      <c r="B193" t="inlineStr">
        <is>
          <t>avverkningsanmälan</t>
        </is>
      </c>
      <c r="C193" t="inlineStr">
        <is>
          <t>Föryngringsavverkning</t>
        </is>
      </c>
      <c r="D193" s="1" t="n">
        <v>46185</v>
      </c>
      <c r="E193" s="1" t="n">
        <v>46217</v>
      </c>
      <c r="F193" t="inlineStr">
        <is>
          <t>ÖREBRO LÄN</t>
        </is>
      </c>
      <c r="G193" t="inlineStr">
        <is>
          <t>LAXÅ</t>
        </is>
      </c>
      <c r="H193" t="inlineStr">
        <is>
          <t>Sveaskog</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26883-2026</t>
        </is>
      </c>
      <c r="B194" t="inlineStr">
        <is>
          <t>avverkningsanmälan</t>
        </is>
      </c>
      <c r="C194" t="inlineStr">
        <is>
          <t>Föryngringsavverkning</t>
        </is>
      </c>
      <c r="D194" s="1" t="n">
        <v>46185</v>
      </c>
      <c r="E194" s="1" t="n">
        <v>46217</v>
      </c>
      <c r="F194" t="inlineStr">
        <is>
          <t>ÖREBRO LÄN</t>
        </is>
      </c>
      <c r="G194" t="inlineStr">
        <is>
          <t>LAXÅ</t>
        </is>
      </c>
      <c r="H194" t="inlineStr">
        <is>
          <t>Sveaskog</t>
        </is>
      </c>
      <c r="I194" t="n">
        <v>8.5</v>
      </c>
      <c r="J194" t="n">
        <v>0</v>
      </c>
      <c r="K194" t="n">
        <v>0</v>
      </c>
      <c r="L194" t="n">
        <v>0</v>
      </c>
      <c r="M194" t="n">
        <v>0</v>
      </c>
      <c r="N194" t="n">
        <v>0</v>
      </c>
      <c r="O194" t="n">
        <v>0</v>
      </c>
      <c r="P194" t="n">
        <v>0</v>
      </c>
      <c r="Q194" t="n">
        <v>0</v>
      </c>
      <c r="R194" t="n">
        <v>0</v>
      </c>
      <c r="S194" t="n">
        <v>0</v>
      </c>
      <c r="T194" t="n">
        <v>0</v>
      </c>
      <c r="U194" s="2" t="inlineStr"/>
    </row>
    <row r="195" ht="15" customHeight="1">
      <c r="A195" t="inlineStr">
        <is>
          <t>A 7132-2024</t>
        </is>
      </c>
      <c r="B195" t="inlineStr">
        <is>
          <t>avverkningsanmälan</t>
        </is>
      </c>
      <c r="C195" t="inlineStr">
        <is>
          <t>Föryngringsavverkning</t>
        </is>
      </c>
      <c r="D195" s="1" t="n">
        <v>45344</v>
      </c>
      <c r="E195" s="1" t="n">
        <v>46217</v>
      </c>
      <c r="F195" t="inlineStr">
        <is>
          <t>ÖREBRO LÄN</t>
        </is>
      </c>
      <c r="G195" t="inlineStr">
        <is>
          <t>LAXÅ</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61051-2023</t>
        </is>
      </c>
      <c r="B196" t="inlineStr">
        <is>
          <t>avverkningsanmälan</t>
        </is>
      </c>
      <c r="C196" t="inlineStr">
        <is>
          <t>Föryngringsavverkning</t>
        </is>
      </c>
      <c r="D196" s="1" t="n">
        <v>45261</v>
      </c>
      <c r="E196" s="1" t="n">
        <v>46217</v>
      </c>
      <c r="F196" t="inlineStr">
        <is>
          <t>ÖREBRO LÄN</t>
        </is>
      </c>
      <c r="G196" t="inlineStr">
        <is>
          <t>LAXÅ</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59770-2025</t>
        </is>
      </c>
      <c r="B197" t="inlineStr">
        <is>
          <t>avverkningsanmälan</t>
        </is>
      </c>
      <c r="C197" t="inlineStr">
        <is>
          <t>Föryngringsavverkning</t>
        </is>
      </c>
      <c r="D197" s="1" t="n">
        <v>45992</v>
      </c>
      <c r="E197" s="1" t="n">
        <v>46217</v>
      </c>
      <c r="F197" t="inlineStr">
        <is>
          <t>ÖREBRO LÄN</t>
        </is>
      </c>
      <c r="G197" t="inlineStr">
        <is>
          <t>LAXÅ</t>
        </is>
      </c>
      <c r="H197" t="inlineStr">
        <is>
          <t>Sveaskog</t>
        </is>
      </c>
      <c r="I197" t="n">
        <v>5.7</v>
      </c>
      <c r="J197" t="n">
        <v>0</v>
      </c>
      <c r="K197" t="n">
        <v>0</v>
      </c>
      <c r="L197" t="n">
        <v>0</v>
      </c>
      <c r="M197" t="n">
        <v>0</v>
      </c>
      <c r="N197" t="n">
        <v>0</v>
      </c>
      <c r="O197" t="n">
        <v>0</v>
      </c>
      <c r="P197" t="n">
        <v>0</v>
      </c>
      <c r="Q197" t="n">
        <v>0</v>
      </c>
      <c r="R197" t="n">
        <v>0</v>
      </c>
      <c r="S197" t="n">
        <v>0</v>
      </c>
      <c r="T197" t="n">
        <v>0</v>
      </c>
      <c r="U197" s="2" t="inlineStr"/>
    </row>
    <row r="198" ht="15" customHeight="1">
      <c r="A198" t="inlineStr">
        <is>
          <t>A 9312-2024</t>
        </is>
      </c>
      <c r="B198" t="inlineStr">
        <is>
          <t>avverkningsanmälan</t>
        </is>
      </c>
      <c r="C198" t="inlineStr">
        <is>
          <t>Föryngringsavverkning</t>
        </is>
      </c>
      <c r="D198" s="1" t="n">
        <v>45358</v>
      </c>
      <c r="E198" s="1" t="n">
        <v>46217</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6178-2024</t>
        </is>
      </c>
      <c r="B199" t="inlineStr">
        <is>
          <t>avverkningsanmälan</t>
        </is>
      </c>
      <c r="C199" t="inlineStr">
        <is>
          <t>Föryngringsavverkning</t>
        </is>
      </c>
      <c r="D199" s="1" t="n">
        <v>45337</v>
      </c>
      <c r="E199" s="1" t="n">
        <v>46217</v>
      </c>
      <c r="F199" t="inlineStr">
        <is>
          <t>ÖREBRO LÄN</t>
        </is>
      </c>
      <c r="G199" t="inlineStr">
        <is>
          <t>LAXÅ</t>
        </is>
      </c>
      <c r="H199" t="inlineStr">
        <is>
          <t>Sveaskog</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60685-2025</t>
        </is>
      </c>
      <c r="B200" t="inlineStr">
        <is>
          <t>avverkningsanmälan</t>
        </is>
      </c>
      <c r="C200" t="inlineStr">
        <is>
          <t>Föryngringsavverkning</t>
        </is>
      </c>
      <c r="D200" s="1" t="n">
        <v>45996</v>
      </c>
      <c r="E200" s="1" t="n">
        <v>46217</v>
      </c>
      <c r="F200" t="inlineStr">
        <is>
          <t>ÖREBRO LÄN</t>
        </is>
      </c>
      <c r="G200" t="inlineStr">
        <is>
          <t>LAXÅ</t>
        </is>
      </c>
      <c r="H200" t="inlineStr">
        <is>
          <t>Sveaskog</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28130-2026</t>
        </is>
      </c>
      <c r="B201" t="inlineStr">
        <is>
          <t>avverkningsanmälan</t>
        </is>
      </c>
      <c r="C201" t="inlineStr">
        <is>
          <t>Föryngringsavverkning</t>
        </is>
      </c>
      <c r="D201" s="1" t="n">
        <v>46195</v>
      </c>
      <c r="E201" s="1" t="n">
        <v>46217</v>
      </c>
      <c r="F201" t="inlineStr">
        <is>
          <t>ÖREBRO LÄN</t>
        </is>
      </c>
      <c r="G201" t="inlineStr">
        <is>
          <t>LAXÅ</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22063-2026</t>
        </is>
      </c>
      <c r="B202" t="inlineStr">
        <is>
          <t>avverkningsanmälan</t>
        </is>
      </c>
      <c r="C202" t="inlineStr">
        <is>
          <t>Avverkning för annat ändamål</t>
        </is>
      </c>
      <c r="D202" s="1" t="n">
        <v>46153</v>
      </c>
      <c r="E202" s="1" t="n">
        <v>46217</v>
      </c>
      <c r="F202" t="inlineStr">
        <is>
          <t>ÖREBRO LÄN</t>
        </is>
      </c>
      <c r="G202" t="inlineStr">
        <is>
          <t>LAXÅ</t>
        </is>
      </c>
      <c r="H202" t="inlineStr">
        <is>
          <t>Sveaskog</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62029-2025</t>
        </is>
      </c>
      <c r="B203" t="inlineStr">
        <is>
          <t>avverkningsanmälan</t>
        </is>
      </c>
      <c r="C203" t="inlineStr">
        <is>
          <t>Föryngringsavverkning</t>
        </is>
      </c>
      <c r="D203" s="1" t="n">
        <v>46003</v>
      </c>
      <c r="E203" s="1" t="n">
        <v>46217</v>
      </c>
      <c r="F203" t="inlineStr">
        <is>
          <t>ÖREBRO LÄN</t>
        </is>
      </c>
      <c r="G203" t="inlineStr">
        <is>
          <t>LAXÅ</t>
        </is>
      </c>
      <c r="I203" t="n">
        <v>6.1</v>
      </c>
      <c r="J203" t="n">
        <v>0</v>
      </c>
      <c r="K203" t="n">
        <v>0</v>
      </c>
      <c r="L203" t="n">
        <v>0</v>
      </c>
      <c r="M203" t="n">
        <v>0</v>
      </c>
      <c r="N203" t="n">
        <v>0</v>
      </c>
      <c r="O203" t="n">
        <v>0</v>
      </c>
      <c r="P203" t="n">
        <v>0</v>
      </c>
      <c r="Q203" t="n">
        <v>0</v>
      </c>
      <c r="R203" t="n">
        <v>0</v>
      </c>
      <c r="S203" t="n">
        <v>0</v>
      </c>
      <c r="T203" t="n">
        <v>0</v>
      </c>
      <c r="U203" s="2" t="inlineStr"/>
    </row>
    <row r="204" ht="15" customHeight="1">
      <c r="A204" t="inlineStr">
        <is>
          <t>A 33929-2023</t>
        </is>
      </c>
      <c r="B204" t="inlineStr">
        <is>
          <t>avverkningsanmälan</t>
        </is>
      </c>
      <c r="C204" t="inlineStr">
        <is>
          <t>Föryngringsavverkning</t>
        </is>
      </c>
      <c r="D204" s="1" t="n">
        <v>45134</v>
      </c>
      <c r="E204" s="1" t="n">
        <v>46217</v>
      </c>
      <c r="F204" t="inlineStr">
        <is>
          <t>ÖREBRO LÄN</t>
        </is>
      </c>
      <c r="G204" t="inlineStr">
        <is>
          <t>LAXÅ</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38288-2023</t>
        </is>
      </c>
      <c r="B205" t="inlineStr">
        <is>
          <t>avverkningsanmälan</t>
        </is>
      </c>
      <c r="C205" t="inlineStr">
        <is>
          <t>Föryngringsavverkning</t>
        </is>
      </c>
      <c r="D205" s="1" t="n">
        <v>45161</v>
      </c>
      <c r="E205" s="1" t="n">
        <v>46217</v>
      </c>
      <c r="F205" t="inlineStr">
        <is>
          <t>ÖREBRO LÄN</t>
        </is>
      </c>
      <c r="G205" t="inlineStr">
        <is>
          <t>LAXÅ</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28821-2026</t>
        </is>
      </c>
      <c r="B206" t="inlineStr">
        <is>
          <t>avverkningsanmälan</t>
        </is>
      </c>
      <c r="C206" t="inlineStr">
        <is>
          <t>Föryngringsavverkning</t>
        </is>
      </c>
      <c r="D206" s="1" t="n">
        <v>46198</v>
      </c>
      <c r="E206" s="1" t="n">
        <v>46217</v>
      </c>
      <c r="F206" t="inlineStr">
        <is>
          <t>ÖREBRO LÄN</t>
        </is>
      </c>
      <c r="G206" t="inlineStr">
        <is>
          <t>LAXÅ</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28822-2026</t>
        </is>
      </c>
      <c r="B207" t="inlineStr">
        <is>
          <t>avverkningsanmälan</t>
        </is>
      </c>
      <c r="C207" t="inlineStr">
        <is>
          <t>Föryngringsavverkning</t>
        </is>
      </c>
      <c r="D207" s="1" t="n">
        <v>46198</v>
      </c>
      <c r="E207" s="1" t="n">
        <v>46217</v>
      </c>
      <c r="F207" t="inlineStr">
        <is>
          <t>ÖREBRO LÄN</t>
        </is>
      </c>
      <c r="G207" t="inlineStr">
        <is>
          <t>LAXÅ</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11476-2023</t>
        </is>
      </c>
      <c r="B208" t="inlineStr">
        <is>
          <t>avverkningsanmälan</t>
        </is>
      </c>
      <c r="C208" t="inlineStr">
        <is>
          <t>Föryngringsavverkning</t>
        </is>
      </c>
      <c r="D208" s="1" t="n">
        <v>44993</v>
      </c>
      <c r="E208" s="1" t="n">
        <v>46217</v>
      </c>
      <c r="F208" t="inlineStr">
        <is>
          <t>ÖREBRO LÄN</t>
        </is>
      </c>
      <c r="G208" t="inlineStr">
        <is>
          <t>LAXÅ</t>
        </is>
      </c>
      <c r="H208" t="inlineStr">
        <is>
          <t>Sveaskog</t>
        </is>
      </c>
      <c r="I208" t="n">
        <v>6.2</v>
      </c>
      <c r="J208" t="n">
        <v>0</v>
      </c>
      <c r="K208" t="n">
        <v>0</v>
      </c>
      <c r="L208" t="n">
        <v>0</v>
      </c>
      <c r="M208" t="n">
        <v>0</v>
      </c>
      <c r="N208" t="n">
        <v>0</v>
      </c>
      <c r="O208" t="n">
        <v>0</v>
      </c>
      <c r="P208" t="n">
        <v>0</v>
      </c>
      <c r="Q208" t="n">
        <v>0</v>
      </c>
      <c r="R208" t="n">
        <v>0</v>
      </c>
      <c r="S208" t="n">
        <v>0</v>
      </c>
      <c r="T208" t="n">
        <v>0</v>
      </c>
      <c r="U208" s="2" t="inlineStr"/>
    </row>
    <row r="209" ht="15" customHeight="1">
      <c r="A209" t="inlineStr">
        <is>
          <t>A 62454-2021</t>
        </is>
      </c>
      <c r="B209" t="inlineStr">
        <is>
          <t>avverkningsanmälan</t>
        </is>
      </c>
      <c r="C209" t="inlineStr">
        <is>
          <t>Föryngringsavverkning</t>
        </is>
      </c>
      <c r="D209" s="1" t="n">
        <v>44503</v>
      </c>
      <c r="E209" s="1" t="n">
        <v>46217</v>
      </c>
      <c r="F209" t="inlineStr">
        <is>
          <t>ÖREBRO LÄN</t>
        </is>
      </c>
      <c r="G209" t="inlineStr">
        <is>
          <t>LAXÅ</t>
        </is>
      </c>
      <c r="H209" t="inlineStr">
        <is>
          <t>Sveaskog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11477-2023</t>
        </is>
      </c>
      <c r="B210" t="inlineStr">
        <is>
          <t>avverkningsanmälan</t>
        </is>
      </c>
      <c r="C210" t="inlineStr">
        <is>
          <t>Föryngringsavverkning</t>
        </is>
      </c>
      <c r="D210" s="1" t="n">
        <v>44993</v>
      </c>
      <c r="E210" s="1" t="n">
        <v>46217</v>
      </c>
      <c r="F210" t="inlineStr">
        <is>
          <t>ÖREBRO LÄN</t>
        </is>
      </c>
      <c r="G210" t="inlineStr">
        <is>
          <t>LAXÅ</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67052-2021</t>
        </is>
      </c>
      <c r="B211" t="inlineStr">
        <is>
          <t>avverkningsanmälan</t>
        </is>
      </c>
      <c r="C211" t="inlineStr">
        <is>
          <t>Föryngringsavverkning</t>
        </is>
      </c>
      <c r="D211" s="1" t="n">
        <v>44522</v>
      </c>
      <c r="E211" s="1" t="n">
        <v>46217</v>
      </c>
      <c r="F211" t="inlineStr">
        <is>
          <t>ÖREBRO LÄN</t>
        </is>
      </c>
      <c r="G211" t="inlineStr">
        <is>
          <t>LAXÅ</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542-2026</t>
        </is>
      </c>
      <c r="B212" t="inlineStr">
        <is>
          <t>avverkningsanmälan</t>
        </is>
      </c>
      <c r="C212" t="inlineStr">
        <is>
          <t>Föryngringsavverkning</t>
        </is>
      </c>
      <c r="D212" s="1" t="n">
        <v>46029</v>
      </c>
      <c r="E212" s="1" t="n">
        <v>46217</v>
      </c>
      <c r="F212" t="inlineStr">
        <is>
          <t>ÖREBRO LÄN</t>
        </is>
      </c>
      <c r="G212" t="inlineStr">
        <is>
          <t>LAXÅ</t>
        </is>
      </c>
      <c r="H212" t="inlineStr">
        <is>
          <t>Kyrkan</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598-2026</t>
        </is>
      </c>
      <c r="B213" t="inlineStr">
        <is>
          <t>avverkningsanmälan</t>
        </is>
      </c>
      <c r="C213" t="inlineStr">
        <is>
          <t>Föryngringsavverkning</t>
        </is>
      </c>
      <c r="D213" s="1" t="n">
        <v>46029</v>
      </c>
      <c r="E213" s="1" t="n">
        <v>46217</v>
      </c>
      <c r="F213" t="inlineStr">
        <is>
          <t>ÖREBRO LÄN</t>
        </is>
      </c>
      <c r="G213" t="inlineStr">
        <is>
          <t>LAXÅ</t>
        </is>
      </c>
      <c r="H213" t="inlineStr">
        <is>
          <t>Sveaskog</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22501-2026</t>
        </is>
      </c>
      <c r="B214" t="inlineStr">
        <is>
          <t>avverkningsanmälan</t>
        </is>
      </c>
      <c r="C214" t="inlineStr">
        <is>
          <t>Föryngringsavverkning</t>
        </is>
      </c>
      <c r="D214" s="1" t="n">
        <v>46155</v>
      </c>
      <c r="E214" s="1" t="n">
        <v>46217</v>
      </c>
      <c r="F214" t="inlineStr">
        <is>
          <t>ÖREBRO LÄN</t>
        </is>
      </c>
      <c r="G214" t="inlineStr">
        <is>
          <t>LAXÅ</t>
        </is>
      </c>
      <c r="H214" t="inlineStr">
        <is>
          <t>Sveaskog</t>
        </is>
      </c>
      <c r="I214" t="n">
        <v>4.4</v>
      </c>
      <c r="J214" t="n">
        <v>0</v>
      </c>
      <c r="K214" t="n">
        <v>0</v>
      </c>
      <c r="L214" t="n">
        <v>0</v>
      </c>
      <c r="M214" t="n">
        <v>0</v>
      </c>
      <c r="N214" t="n">
        <v>0</v>
      </c>
      <c r="O214" t="n">
        <v>0</v>
      </c>
      <c r="P214" t="n">
        <v>0</v>
      </c>
      <c r="Q214" t="n">
        <v>0</v>
      </c>
      <c r="R214" t="n">
        <v>0</v>
      </c>
      <c r="S214" t="n">
        <v>0</v>
      </c>
      <c r="T214" t="n">
        <v>0</v>
      </c>
      <c r="U214" s="2" t="inlineStr"/>
    </row>
    <row r="215" ht="15" customHeight="1">
      <c r="A215" t="inlineStr">
        <is>
          <t>A 28827-2026</t>
        </is>
      </c>
      <c r="B215" t="inlineStr">
        <is>
          <t>avverkningsanmälan</t>
        </is>
      </c>
      <c r="C215" t="inlineStr">
        <is>
          <t>Föryngringsavverkning</t>
        </is>
      </c>
      <c r="D215" s="1" t="n">
        <v>46198</v>
      </c>
      <c r="E215" s="1" t="n">
        <v>46217</v>
      </c>
      <c r="F215" t="inlineStr">
        <is>
          <t>ÖREBRO LÄN</t>
        </is>
      </c>
      <c r="G215" t="inlineStr">
        <is>
          <t>LAXÅ</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6158-2025</t>
        </is>
      </c>
      <c r="B216" t="inlineStr">
        <is>
          <t>avverkningsanmälan</t>
        </is>
      </c>
      <c r="C216" t="inlineStr">
        <is>
          <t>Föryngringsavverkning</t>
        </is>
      </c>
      <c r="D216" s="1" t="n">
        <v>45698</v>
      </c>
      <c r="E216" s="1" t="n">
        <v>46217</v>
      </c>
      <c r="F216" t="inlineStr">
        <is>
          <t>ÖREBRO LÄN</t>
        </is>
      </c>
      <c r="G216" t="inlineStr">
        <is>
          <t>LAXÅ</t>
        </is>
      </c>
      <c r="H216" t="inlineStr">
        <is>
          <t>Sveaskog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1772-2026</t>
        </is>
      </c>
      <c r="B217" t="inlineStr">
        <is>
          <t>avverkningsanmälan</t>
        </is>
      </c>
      <c r="C217" t="inlineStr">
        <is>
          <t>Föryngringsavverkning</t>
        </is>
      </c>
      <c r="D217" s="1" t="n">
        <v>46034</v>
      </c>
      <c r="E217" s="1" t="n">
        <v>46217</v>
      </c>
      <c r="F217" t="inlineStr">
        <is>
          <t>ÖREBRO LÄN</t>
        </is>
      </c>
      <c r="G217" t="inlineStr">
        <is>
          <t>LAXÅ</t>
        </is>
      </c>
      <c r="H217" t="inlineStr">
        <is>
          <t>Allmännings- och besparingsskogar</t>
        </is>
      </c>
      <c r="I217" t="n">
        <v>4.7</v>
      </c>
      <c r="J217" t="n">
        <v>0</v>
      </c>
      <c r="K217" t="n">
        <v>0</v>
      </c>
      <c r="L217" t="n">
        <v>0</v>
      </c>
      <c r="M217" t="n">
        <v>0</v>
      </c>
      <c r="N217" t="n">
        <v>0</v>
      </c>
      <c r="O217" t="n">
        <v>0</v>
      </c>
      <c r="P217" t="n">
        <v>0</v>
      </c>
      <c r="Q217" t="n">
        <v>0</v>
      </c>
      <c r="R217" t="n">
        <v>0</v>
      </c>
      <c r="S217" t="n">
        <v>0</v>
      </c>
      <c r="T217" t="n">
        <v>0</v>
      </c>
      <c r="U217" s="2" t="inlineStr"/>
    </row>
    <row r="218" ht="15" customHeight="1">
      <c r="A218" t="inlineStr">
        <is>
          <t>A 7932-2024</t>
        </is>
      </c>
      <c r="B218" t="inlineStr">
        <is>
          <t>avverkningsanmälan</t>
        </is>
      </c>
      <c r="C218" t="inlineStr">
        <is>
          <t>Föryngringsavverkning</t>
        </is>
      </c>
      <c r="D218" s="1" t="n">
        <v>45349</v>
      </c>
      <c r="E218" s="1" t="n">
        <v>46217</v>
      </c>
      <c r="F218" t="inlineStr">
        <is>
          <t>ÖREBRO LÄN</t>
        </is>
      </c>
      <c r="G218" t="inlineStr">
        <is>
          <t>LAXÅ</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2332-2026</t>
        </is>
      </c>
      <c r="B219" t="inlineStr">
        <is>
          <t>avverkningsanmälan</t>
        </is>
      </c>
      <c r="C219" t="inlineStr">
        <is>
          <t>Föryngringsavverkning</t>
        </is>
      </c>
      <c r="D219" s="1" t="n">
        <v>46036</v>
      </c>
      <c r="E219" s="1" t="n">
        <v>46217</v>
      </c>
      <c r="F219" t="inlineStr">
        <is>
          <t>ÖREBRO LÄN</t>
        </is>
      </c>
      <c r="G219" t="inlineStr">
        <is>
          <t>LAXÅ</t>
        </is>
      </c>
      <c r="H219" t="inlineStr">
        <is>
          <t>Sveaskog</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1944-2026</t>
        </is>
      </c>
      <c r="B220" t="inlineStr">
        <is>
          <t>avverkningsanmälan</t>
        </is>
      </c>
      <c r="C220" t="inlineStr">
        <is>
          <t>Föryngringsavverkning</t>
        </is>
      </c>
      <c r="D220" s="1" t="n">
        <v>46035</v>
      </c>
      <c r="E220" s="1" t="n">
        <v>46217</v>
      </c>
      <c r="F220" t="inlineStr">
        <is>
          <t>ÖREBRO LÄN</t>
        </is>
      </c>
      <c r="G220" t="inlineStr">
        <is>
          <t>LAXÅ</t>
        </is>
      </c>
      <c r="H220" t="inlineStr">
        <is>
          <t>Sveaskog</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1943-2026</t>
        </is>
      </c>
      <c r="B221" t="inlineStr">
        <is>
          <t>avverkningsanmälan</t>
        </is>
      </c>
      <c r="C221" t="inlineStr">
        <is>
          <t>Föryngringsavverkning</t>
        </is>
      </c>
      <c r="D221" s="1" t="n">
        <v>46035</v>
      </c>
      <c r="E221" s="1" t="n">
        <v>46217</v>
      </c>
      <c r="F221" t="inlineStr">
        <is>
          <t>ÖREBRO LÄN</t>
        </is>
      </c>
      <c r="G221" t="inlineStr">
        <is>
          <t>LAXÅ</t>
        </is>
      </c>
      <c r="H221" t="inlineStr">
        <is>
          <t>Sveaskog</t>
        </is>
      </c>
      <c r="I221" t="n">
        <v>10.9</v>
      </c>
      <c r="J221" t="n">
        <v>0</v>
      </c>
      <c r="K221" t="n">
        <v>0</v>
      </c>
      <c r="L221" t="n">
        <v>0</v>
      </c>
      <c r="M221" t="n">
        <v>0</v>
      </c>
      <c r="N221" t="n">
        <v>0</v>
      </c>
      <c r="O221" t="n">
        <v>0</v>
      </c>
      <c r="P221" t="n">
        <v>0</v>
      </c>
      <c r="Q221" t="n">
        <v>0</v>
      </c>
      <c r="R221" t="n">
        <v>0</v>
      </c>
      <c r="S221" t="n">
        <v>0</v>
      </c>
      <c r="T221" t="n">
        <v>0</v>
      </c>
      <c r="U221" s="2" t="inlineStr"/>
    </row>
    <row r="222" ht="15" customHeight="1">
      <c r="A222" t="inlineStr">
        <is>
          <t>A 2102-2026</t>
        </is>
      </c>
      <c r="B222" t="inlineStr">
        <is>
          <t>avverkningsanmälan</t>
        </is>
      </c>
      <c r="C222" t="inlineStr">
        <is>
          <t>Föryngringsavverkning</t>
        </is>
      </c>
      <c r="D222" s="1" t="n">
        <v>46036</v>
      </c>
      <c r="E222" s="1" t="n">
        <v>46217</v>
      </c>
      <c r="F222" t="inlineStr">
        <is>
          <t>ÖREBRO LÄN</t>
        </is>
      </c>
      <c r="G222" t="inlineStr">
        <is>
          <t>LAXÅ</t>
        </is>
      </c>
      <c r="H222" t="inlineStr">
        <is>
          <t>Sveaskog</t>
        </is>
      </c>
      <c r="I222" t="n">
        <v>2.5</v>
      </c>
      <c r="J222" t="n">
        <v>0</v>
      </c>
      <c r="K222" t="n">
        <v>0</v>
      </c>
      <c r="L222" t="n">
        <v>0</v>
      </c>
      <c r="M222" t="n">
        <v>0</v>
      </c>
      <c r="N222" t="n">
        <v>0</v>
      </c>
      <c r="O222" t="n">
        <v>0</v>
      </c>
      <c r="P222" t="n">
        <v>0</v>
      </c>
      <c r="Q222" t="n">
        <v>0</v>
      </c>
      <c r="R222" t="n">
        <v>0</v>
      </c>
      <c r="S222" t="n">
        <v>0</v>
      </c>
      <c r="T222" t="n">
        <v>0</v>
      </c>
      <c r="U222" s="2" t="inlineStr"/>
    </row>
    <row r="223" ht="15" customHeight="1">
      <c r="A223" t="inlineStr">
        <is>
          <t>A 2127-2026</t>
        </is>
      </c>
      <c r="B223" t="inlineStr">
        <is>
          <t>avverkningsanmälan</t>
        </is>
      </c>
      <c r="C223" t="inlineStr">
        <is>
          <t>Föryngringsavverkning</t>
        </is>
      </c>
      <c r="D223" s="1" t="n">
        <v>46036</v>
      </c>
      <c r="E223" s="1" t="n">
        <v>46217</v>
      </c>
      <c r="F223" t="inlineStr">
        <is>
          <t>ÖREBRO LÄN</t>
        </is>
      </c>
      <c r="G223" t="inlineStr">
        <is>
          <t>LAXÅ</t>
        </is>
      </c>
      <c r="H223" t="inlineStr">
        <is>
          <t>Sveaskog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22493-2026</t>
        </is>
      </c>
      <c r="B224" t="inlineStr">
        <is>
          <t>avverkningsanmälan</t>
        </is>
      </c>
      <c r="C224" t="inlineStr">
        <is>
          <t>Föryngringsavverkning</t>
        </is>
      </c>
      <c r="D224" s="1" t="n">
        <v>46155</v>
      </c>
      <c r="E224" s="1" t="n">
        <v>46217</v>
      </c>
      <c r="F224" t="inlineStr">
        <is>
          <t>ÖREBRO LÄN</t>
        </is>
      </c>
      <c r="G224" t="inlineStr">
        <is>
          <t>LAXÅ</t>
        </is>
      </c>
      <c r="H224" t="inlineStr">
        <is>
          <t>Sveaskog</t>
        </is>
      </c>
      <c r="I224" t="n">
        <v>3</v>
      </c>
      <c r="J224" t="n">
        <v>0</v>
      </c>
      <c r="K224" t="n">
        <v>0</v>
      </c>
      <c r="L224" t="n">
        <v>0</v>
      </c>
      <c r="M224" t="n">
        <v>0</v>
      </c>
      <c r="N224" t="n">
        <v>0</v>
      </c>
      <c r="O224" t="n">
        <v>0</v>
      </c>
      <c r="P224" t="n">
        <v>0</v>
      </c>
      <c r="Q224" t="n">
        <v>0</v>
      </c>
      <c r="R224" t="n">
        <v>0</v>
      </c>
      <c r="S224" t="n">
        <v>0</v>
      </c>
      <c r="T224" t="n">
        <v>0</v>
      </c>
      <c r="U224" s="2" t="inlineStr"/>
    </row>
    <row r="225" ht="15" customHeight="1">
      <c r="A225" t="inlineStr">
        <is>
          <t>A 41853-2024</t>
        </is>
      </c>
      <c r="B225" t="inlineStr">
        <is>
          <t>avverkningsanmälan</t>
        </is>
      </c>
      <c r="C225" t="inlineStr">
        <is>
          <t>Föryngringsavverkning</t>
        </is>
      </c>
      <c r="D225" s="1" t="n">
        <v>45561</v>
      </c>
      <c r="E225" s="1" t="n">
        <v>46217</v>
      </c>
      <c r="F225" t="inlineStr">
        <is>
          <t>ÖREBRO LÄN</t>
        </is>
      </c>
      <c r="G225" t="inlineStr">
        <is>
          <t>LAXÅ</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29163-2026</t>
        </is>
      </c>
      <c r="B226" t="inlineStr">
        <is>
          <t>avverkningsanmälan</t>
        </is>
      </c>
      <c r="C226" t="inlineStr">
        <is>
          <t>Föryngringsavverkning</t>
        </is>
      </c>
      <c r="D226" s="1" t="n">
        <v>46202</v>
      </c>
      <c r="E226" s="1" t="n">
        <v>46217</v>
      </c>
      <c r="F226" t="inlineStr">
        <is>
          <t>ÖREBRO LÄN</t>
        </is>
      </c>
      <c r="G226" t="inlineStr">
        <is>
          <t>LAXÅ</t>
        </is>
      </c>
      <c r="H226" t="inlineStr">
        <is>
          <t>Sveaskog</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5414-2026</t>
        </is>
      </c>
      <c r="B227" t="inlineStr">
        <is>
          <t>avverkningsanmälan</t>
        </is>
      </c>
      <c r="C227" t="inlineStr">
        <is>
          <t>Föryngringsavverkning</t>
        </is>
      </c>
      <c r="D227" s="1" t="n">
        <v>46048</v>
      </c>
      <c r="E227" s="1" t="n">
        <v>46217</v>
      </c>
      <c r="F227" t="inlineStr">
        <is>
          <t>ÖREBRO LÄN</t>
        </is>
      </c>
      <c r="G227" t="inlineStr">
        <is>
          <t>LAXÅ</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50262-2024</t>
        </is>
      </c>
      <c r="B228" t="inlineStr">
        <is>
          <t>avverkningsanmälan</t>
        </is>
      </c>
      <c r="C228" t="inlineStr">
        <is>
          <t>Föryngringsavverkning</t>
        </is>
      </c>
      <c r="D228" s="1" t="n">
        <v>45600</v>
      </c>
      <c r="E228" s="1" t="n">
        <v>46217</v>
      </c>
      <c r="F228" t="inlineStr">
        <is>
          <t>ÖREBRO LÄN</t>
        </is>
      </c>
      <c r="G228" t="inlineStr">
        <is>
          <t>LAXÅ</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29161-2026</t>
        </is>
      </c>
      <c r="B229" t="inlineStr">
        <is>
          <t>avverkningsanmälan</t>
        </is>
      </c>
      <c r="C229" t="inlineStr">
        <is>
          <t>Föryngringsavverkning</t>
        </is>
      </c>
      <c r="D229" s="1" t="n">
        <v>46202</v>
      </c>
      <c r="E229" s="1" t="n">
        <v>46217</v>
      </c>
      <c r="F229" t="inlineStr">
        <is>
          <t>ÖREBRO LÄN</t>
        </is>
      </c>
      <c r="G229" t="inlineStr">
        <is>
          <t>LAXÅ</t>
        </is>
      </c>
      <c r="H229" t="inlineStr">
        <is>
          <t>Sveaskog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4417-2026</t>
        </is>
      </c>
      <c r="B230" t="inlineStr">
        <is>
          <t>avverkningsanmälan</t>
        </is>
      </c>
      <c r="C230" t="inlineStr">
        <is>
          <t>Föryngringsavverkning</t>
        </is>
      </c>
      <c r="D230" s="1" t="n">
        <v>46045</v>
      </c>
      <c r="E230" s="1" t="n">
        <v>46217</v>
      </c>
      <c r="F230" t="inlineStr">
        <is>
          <t>ÖREBRO LÄN</t>
        </is>
      </c>
      <c r="G230" t="inlineStr">
        <is>
          <t>LAXÅ</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5421-2026</t>
        </is>
      </c>
      <c r="B231" t="inlineStr">
        <is>
          <t>avverkningsanmälan</t>
        </is>
      </c>
      <c r="C231" t="inlineStr">
        <is>
          <t>Föryngringsavverkning</t>
        </is>
      </c>
      <c r="D231" s="1" t="n">
        <v>46048</v>
      </c>
      <c r="E231" s="1" t="n">
        <v>46217</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29176-2026</t>
        </is>
      </c>
      <c r="B232" t="inlineStr">
        <is>
          <t>avverkningsanmälan</t>
        </is>
      </c>
      <c r="C232" t="inlineStr">
        <is>
          <t>Föryngringsavverkning</t>
        </is>
      </c>
      <c r="D232" s="1" t="n">
        <v>46202</v>
      </c>
      <c r="E232" s="1" t="n">
        <v>46217</v>
      </c>
      <c r="F232" t="inlineStr">
        <is>
          <t>ÖREBRO LÄN</t>
        </is>
      </c>
      <c r="G232" t="inlineStr">
        <is>
          <t>LAXÅ</t>
        </is>
      </c>
      <c r="H232" t="inlineStr">
        <is>
          <t>Sveaskog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5649-2026</t>
        </is>
      </c>
      <c r="B233" t="inlineStr">
        <is>
          <t>avverkningsanmälan</t>
        </is>
      </c>
      <c r="C233" t="inlineStr">
        <is>
          <t>Avverkning för annat ändamål</t>
        </is>
      </c>
      <c r="D233" s="1" t="n">
        <v>46051</v>
      </c>
      <c r="E233" s="1" t="n">
        <v>46217</v>
      </c>
      <c r="F233" t="inlineStr">
        <is>
          <t>ÖREBRO LÄN</t>
        </is>
      </c>
      <c r="G233" t="inlineStr">
        <is>
          <t>LAXÅ</t>
        </is>
      </c>
      <c r="H233" t="inlineStr">
        <is>
          <t>Sveaskog</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5650-2026</t>
        </is>
      </c>
      <c r="B234" t="inlineStr">
        <is>
          <t>avverkningsanmälan</t>
        </is>
      </c>
      <c r="C234" t="inlineStr">
        <is>
          <t>Avverkning för annat ändamål</t>
        </is>
      </c>
      <c r="D234" s="1" t="n">
        <v>46051</v>
      </c>
      <c r="E234" s="1" t="n">
        <v>46217</v>
      </c>
      <c r="F234" t="inlineStr">
        <is>
          <t>ÖREBRO LÄN</t>
        </is>
      </c>
      <c r="G234" t="inlineStr">
        <is>
          <t>LAXÅ</t>
        </is>
      </c>
      <c r="H234" t="inlineStr">
        <is>
          <t>Sveaskog</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517-2026</t>
        </is>
      </c>
      <c r="B235" t="inlineStr">
        <is>
          <t>avverkningsanmälan</t>
        </is>
      </c>
      <c r="C235" t="inlineStr">
        <is>
          <t>Föryngringsavverkning</t>
        </is>
      </c>
      <c r="D235" s="1" t="n">
        <v>46029</v>
      </c>
      <c r="E235" s="1" t="n">
        <v>46217</v>
      </c>
      <c r="F235" t="inlineStr">
        <is>
          <t>ÖREBRO LÄN</t>
        </is>
      </c>
      <c r="G235" t="inlineStr">
        <is>
          <t>LAXÅ</t>
        </is>
      </c>
      <c r="H235" t="inlineStr">
        <is>
          <t>Kyrkan</t>
        </is>
      </c>
      <c r="I235" t="n">
        <v>2.9</v>
      </c>
      <c r="J235" t="n">
        <v>0</v>
      </c>
      <c r="K235" t="n">
        <v>0</v>
      </c>
      <c r="L235" t="n">
        <v>0</v>
      </c>
      <c r="M235" t="n">
        <v>0</v>
      </c>
      <c r="N235" t="n">
        <v>0</v>
      </c>
      <c r="O235" t="n">
        <v>0</v>
      </c>
      <c r="P235" t="n">
        <v>0</v>
      </c>
      <c r="Q235" t="n">
        <v>0</v>
      </c>
      <c r="R235" t="n">
        <v>0</v>
      </c>
      <c r="S235" t="n">
        <v>0</v>
      </c>
      <c r="T235" t="n">
        <v>0</v>
      </c>
      <c r="U235" s="2" t="inlineStr"/>
    </row>
    <row r="236" ht="15" customHeight="1">
      <c r="A236" t="inlineStr">
        <is>
          <t>A 23072-2026</t>
        </is>
      </c>
      <c r="B236" t="inlineStr">
        <is>
          <t>avverkningsanmälan</t>
        </is>
      </c>
      <c r="C236" t="inlineStr">
        <is>
          <t>Föryngringsavverkning</t>
        </is>
      </c>
      <c r="D236" s="1" t="n">
        <v>46161</v>
      </c>
      <c r="E236" s="1" t="n">
        <v>46217</v>
      </c>
      <c r="F236" t="inlineStr">
        <is>
          <t>ÖREBRO LÄN</t>
        </is>
      </c>
      <c r="G236" t="inlineStr">
        <is>
          <t>LAXÅ</t>
        </is>
      </c>
      <c r="H236" t="inlineStr">
        <is>
          <t>Sveaskog</t>
        </is>
      </c>
      <c r="I236" t="n">
        <v>4.4</v>
      </c>
      <c r="J236" t="n">
        <v>0</v>
      </c>
      <c r="K236" t="n">
        <v>0</v>
      </c>
      <c r="L236" t="n">
        <v>0</v>
      </c>
      <c r="M236" t="n">
        <v>0</v>
      </c>
      <c r="N236" t="n">
        <v>0</v>
      </c>
      <c r="O236" t="n">
        <v>0</v>
      </c>
      <c r="P236" t="n">
        <v>0</v>
      </c>
      <c r="Q236" t="n">
        <v>0</v>
      </c>
      <c r="R236" t="n">
        <v>0</v>
      </c>
      <c r="S236" t="n">
        <v>0</v>
      </c>
      <c r="T236" t="n">
        <v>0</v>
      </c>
      <c r="U236" s="2" t="inlineStr"/>
    </row>
    <row r="237" ht="15" customHeight="1">
      <c r="A237" t="inlineStr">
        <is>
          <t>A 49881-2024</t>
        </is>
      </c>
      <c r="B237" t="inlineStr">
        <is>
          <t>avverkningsanmälan</t>
        </is>
      </c>
      <c r="C237" t="inlineStr">
        <is>
          <t>Föryngringsavverkning</t>
        </is>
      </c>
      <c r="D237" s="1" t="n">
        <v>45597</v>
      </c>
      <c r="E237" s="1" t="n">
        <v>46217</v>
      </c>
      <c r="F237" t="inlineStr">
        <is>
          <t>ÖREBRO LÄN</t>
        </is>
      </c>
      <c r="G237" t="inlineStr">
        <is>
          <t>LAXÅ</t>
        </is>
      </c>
      <c r="H237" t="inlineStr">
        <is>
          <t>Sveaskog</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7247-2026</t>
        </is>
      </c>
      <c r="B238" t="inlineStr">
        <is>
          <t>avverkningsanmälan</t>
        </is>
      </c>
      <c r="C238" t="inlineStr">
        <is>
          <t>Föryngringsavverkning</t>
        </is>
      </c>
      <c r="D238" s="1" t="n">
        <v>46058</v>
      </c>
      <c r="E238" s="1" t="n">
        <v>46217</v>
      </c>
      <c r="F238" t="inlineStr">
        <is>
          <t>ÖREBRO LÄN</t>
        </is>
      </c>
      <c r="G238" t="inlineStr">
        <is>
          <t>LAXÅ</t>
        </is>
      </c>
      <c r="I238" t="n">
        <v>5.6</v>
      </c>
      <c r="J238" t="n">
        <v>0</v>
      </c>
      <c r="K238" t="n">
        <v>0</v>
      </c>
      <c r="L238" t="n">
        <v>0</v>
      </c>
      <c r="M238" t="n">
        <v>0</v>
      </c>
      <c r="N238" t="n">
        <v>0</v>
      </c>
      <c r="O238" t="n">
        <v>0</v>
      </c>
      <c r="P238" t="n">
        <v>0</v>
      </c>
      <c r="Q238" t="n">
        <v>0</v>
      </c>
      <c r="R238" t="n">
        <v>0</v>
      </c>
      <c r="S238" t="n">
        <v>0</v>
      </c>
      <c r="T238" t="n">
        <v>0</v>
      </c>
      <c r="U238" s="2" t="inlineStr"/>
    </row>
    <row r="239" ht="15" customHeight="1">
      <c r="A239" t="inlineStr">
        <is>
          <t>A 23074-2026</t>
        </is>
      </c>
      <c r="B239" t="inlineStr">
        <is>
          <t>avverkningsanmälan</t>
        </is>
      </c>
      <c r="C239" t="inlineStr">
        <is>
          <t>Föryngringsavverkning</t>
        </is>
      </c>
      <c r="D239" s="1" t="n">
        <v>46161</v>
      </c>
      <c r="E239" s="1" t="n">
        <v>46217</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23076-2026</t>
        </is>
      </c>
      <c r="B240" t="inlineStr">
        <is>
          <t>avverkningsanmälan</t>
        </is>
      </c>
      <c r="C240" t="inlineStr">
        <is>
          <t>Föryngringsavverkning</t>
        </is>
      </c>
      <c r="D240" s="1" t="n">
        <v>46161</v>
      </c>
      <c r="E240" s="1" t="n">
        <v>46217</v>
      </c>
      <c r="F240" t="inlineStr">
        <is>
          <t>ÖREBRO LÄN</t>
        </is>
      </c>
      <c r="G240" t="inlineStr">
        <is>
          <t>LAXÅ</t>
        </is>
      </c>
      <c r="H240" t="inlineStr">
        <is>
          <t>Sveaskog</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25563-2022</t>
        </is>
      </c>
      <c r="B241" t="inlineStr">
        <is>
          <t>avverkningsanmälan</t>
        </is>
      </c>
      <c r="C241" t="inlineStr">
        <is>
          <t>Föryngringsavverkning</t>
        </is>
      </c>
      <c r="D241" s="1" t="n">
        <v>44732</v>
      </c>
      <c r="E241" s="1" t="n">
        <v>46217</v>
      </c>
      <c r="F241" t="inlineStr">
        <is>
          <t>ÖREBRO LÄN</t>
        </is>
      </c>
      <c r="G241" t="inlineStr">
        <is>
          <t>LAXÅ</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9107-2026</t>
        </is>
      </c>
      <c r="B242" t="inlineStr">
        <is>
          <t>avverkningsanmälan</t>
        </is>
      </c>
      <c r="C242" t="inlineStr">
        <is>
          <t>Föryngringsavverkning</t>
        </is>
      </c>
      <c r="D242" s="1" t="n">
        <v>46069</v>
      </c>
      <c r="E242" s="1" t="n">
        <v>46217</v>
      </c>
      <c r="F242" t="inlineStr">
        <is>
          <t>ÖREBRO LÄN</t>
        </is>
      </c>
      <c r="G242" t="inlineStr">
        <is>
          <t>LAXÅ</t>
        </is>
      </c>
      <c r="H242" t="inlineStr">
        <is>
          <t>Sveaskog</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9108-2026</t>
        </is>
      </c>
      <c r="B243" t="inlineStr">
        <is>
          <t>avverkningsanmälan</t>
        </is>
      </c>
      <c r="C243" t="inlineStr">
        <is>
          <t>Föryngringsavverkning</t>
        </is>
      </c>
      <c r="D243" s="1" t="n">
        <v>46069</v>
      </c>
      <c r="E243" s="1" t="n">
        <v>46217</v>
      </c>
      <c r="F243" t="inlineStr">
        <is>
          <t>ÖREBRO LÄN</t>
        </is>
      </c>
      <c r="G243" t="inlineStr">
        <is>
          <t>LAXÅ</t>
        </is>
      </c>
      <c r="H243" t="inlineStr">
        <is>
          <t>Sveaskog</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9110-2026</t>
        </is>
      </c>
      <c r="B244" t="inlineStr">
        <is>
          <t>avverkningsanmälan</t>
        </is>
      </c>
      <c r="C244" t="inlineStr">
        <is>
          <t>Föryngringsavverkning</t>
        </is>
      </c>
      <c r="D244" s="1" t="n">
        <v>46069</v>
      </c>
      <c r="E244" s="1" t="n">
        <v>46217</v>
      </c>
      <c r="F244" t="inlineStr">
        <is>
          <t>ÖREBRO LÄN</t>
        </is>
      </c>
      <c r="G244" t="inlineStr">
        <is>
          <t>LAXÅ</t>
        </is>
      </c>
      <c r="H244" t="inlineStr">
        <is>
          <t>Sveaskog</t>
        </is>
      </c>
      <c r="I244" t="n">
        <v>3.9</v>
      </c>
      <c r="J244" t="n">
        <v>0</v>
      </c>
      <c r="K244" t="n">
        <v>0</v>
      </c>
      <c r="L244" t="n">
        <v>0</v>
      </c>
      <c r="M244" t="n">
        <v>0</v>
      </c>
      <c r="N244" t="n">
        <v>0</v>
      </c>
      <c r="O244" t="n">
        <v>0</v>
      </c>
      <c r="P244" t="n">
        <v>0</v>
      </c>
      <c r="Q244" t="n">
        <v>0</v>
      </c>
      <c r="R244" t="n">
        <v>0</v>
      </c>
      <c r="S244" t="n">
        <v>0</v>
      </c>
      <c r="T244" t="n">
        <v>0</v>
      </c>
      <c r="U244" s="2" t="inlineStr"/>
    </row>
    <row r="245" ht="15" customHeight="1">
      <c r="A245" t="inlineStr">
        <is>
          <t>A 19809-2025</t>
        </is>
      </c>
      <c r="B245" t="inlineStr">
        <is>
          <t>avverkningsanmälan</t>
        </is>
      </c>
      <c r="C245" t="inlineStr">
        <is>
          <t>Föryngringsavverkning</t>
        </is>
      </c>
      <c r="D245" s="1" t="n">
        <v>45771</v>
      </c>
      <c r="E245" s="1" t="n">
        <v>46217</v>
      </c>
      <c r="F245" t="inlineStr">
        <is>
          <t>ÖREBRO LÄN</t>
        </is>
      </c>
      <c r="G245" t="inlineStr">
        <is>
          <t>LAXÅ</t>
        </is>
      </c>
      <c r="H245" t="inlineStr">
        <is>
          <t>Sveaskog</t>
        </is>
      </c>
      <c r="I245" t="n">
        <v>7.7</v>
      </c>
      <c r="J245" t="n">
        <v>0</v>
      </c>
      <c r="K245" t="n">
        <v>0</v>
      </c>
      <c r="L245" t="n">
        <v>0</v>
      </c>
      <c r="M245" t="n">
        <v>0</v>
      </c>
      <c r="N245" t="n">
        <v>0</v>
      </c>
      <c r="O245" t="n">
        <v>0</v>
      </c>
      <c r="P245" t="n">
        <v>0</v>
      </c>
      <c r="Q245" t="n">
        <v>0</v>
      </c>
      <c r="R245" t="n">
        <v>0</v>
      </c>
      <c r="S245" t="n">
        <v>0</v>
      </c>
      <c r="T245" t="n">
        <v>0</v>
      </c>
      <c r="U245" s="2" t="inlineStr"/>
    </row>
    <row r="246" ht="15" customHeight="1">
      <c r="A246" t="inlineStr">
        <is>
          <t>A 19813-2025</t>
        </is>
      </c>
      <c r="B246" t="inlineStr">
        <is>
          <t>avverkningsanmälan</t>
        </is>
      </c>
      <c r="C246" t="inlineStr">
        <is>
          <t>Föryngringsavverkning</t>
        </is>
      </c>
      <c r="D246" s="1" t="n">
        <v>45771</v>
      </c>
      <c r="E246" s="1" t="n">
        <v>46217</v>
      </c>
      <c r="F246" t="inlineStr">
        <is>
          <t>ÖREBRO LÄN</t>
        </is>
      </c>
      <c r="G246" t="inlineStr">
        <is>
          <t>LAXÅ</t>
        </is>
      </c>
      <c r="H246" t="inlineStr">
        <is>
          <t>Sveaskog</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19835-2025</t>
        </is>
      </c>
      <c r="B247" t="inlineStr">
        <is>
          <t>avverkningsanmälan</t>
        </is>
      </c>
      <c r="C247" t="inlineStr">
        <is>
          <t>Avverkning för att bevara och utveckla /försöksver</t>
        </is>
      </c>
      <c r="D247" s="1" t="n">
        <v>45771</v>
      </c>
      <c r="E247" s="1" t="n">
        <v>46217</v>
      </c>
      <c r="F247" t="inlineStr">
        <is>
          <t>ÖREBRO LÄN</t>
        </is>
      </c>
      <c r="G247" t="inlineStr">
        <is>
          <t>LAXÅ</t>
        </is>
      </c>
      <c r="H247" t="inlineStr">
        <is>
          <t>Sveaskog</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9112-2026</t>
        </is>
      </c>
      <c r="B248" t="inlineStr">
        <is>
          <t>avverkningsanmälan</t>
        </is>
      </c>
      <c r="C248" t="inlineStr">
        <is>
          <t>Föryngringsavverkning</t>
        </is>
      </c>
      <c r="D248" s="1" t="n">
        <v>46069</v>
      </c>
      <c r="E248" s="1" t="n">
        <v>46217</v>
      </c>
      <c r="F248" t="inlineStr">
        <is>
          <t>ÖREBRO LÄN</t>
        </is>
      </c>
      <c r="G248" t="inlineStr">
        <is>
          <t>LAXÅ</t>
        </is>
      </c>
      <c r="H248" t="inlineStr">
        <is>
          <t>Sveaskog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23068-2026</t>
        </is>
      </c>
      <c r="B249" t="inlineStr">
        <is>
          <t>avverkningsanmälan</t>
        </is>
      </c>
      <c r="C249" t="inlineStr">
        <is>
          <t>Föryngringsavverkning</t>
        </is>
      </c>
      <c r="D249" s="1" t="n">
        <v>46161</v>
      </c>
      <c r="E249" s="1" t="n">
        <v>46217</v>
      </c>
      <c r="F249" t="inlineStr">
        <is>
          <t>ÖREBRO LÄN</t>
        </is>
      </c>
      <c r="G249" t="inlineStr">
        <is>
          <t>LAXÅ</t>
        </is>
      </c>
      <c r="H249" t="inlineStr">
        <is>
          <t>Sveaskog</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23071-2026</t>
        </is>
      </c>
      <c r="B250" t="inlineStr">
        <is>
          <t>avverkningsanmälan</t>
        </is>
      </c>
      <c r="C250" t="inlineStr">
        <is>
          <t>Föryngringsavverkning</t>
        </is>
      </c>
      <c r="D250" s="1" t="n">
        <v>46161</v>
      </c>
      <c r="E250" s="1" t="n">
        <v>46217</v>
      </c>
      <c r="F250" t="inlineStr">
        <is>
          <t>ÖREBRO LÄN</t>
        </is>
      </c>
      <c r="G250" t="inlineStr">
        <is>
          <t>LAXÅ</t>
        </is>
      </c>
      <c r="H250" t="inlineStr">
        <is>
          <t>Sveaskog</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23075-2026</t>
        </is>
      </c>
      <c r="B251" t="inlineStr">
        <is>
          <t>avverkningsanmälan</t>
        </is>
      </c>
      <c r="C251" t="inlineStr">
        <is>
          <t>Föryngringsavverkning</t>
        </is>
      </c>
      <c r="D251" s="1" t="n">
        <v>46161</v>
      </c>
      <c r="E251" s="1" t="n">
        <v>46217</v>
      </c>
      <c r="F251" t="inlineStr">
        <is>
          <t>ÖREBRO LÄN</t>
        </is>
      </c>
      <c r="G251" t="inlineStr">
        <is>
          <t>LAXÅ</t>
        </is>
      </c>
      <c r="H251" t="inlineStr">
        <is>
          <t>Sveaskog</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9987-2026</t>
        </is>
      </c>
      <c r="B252" t="inlineStr">
        <is>
          <t>avverkningsanmälan</t>
        </is>
      </c>
      <c r="C252" t="inlineStr">
        <is>
          <t>Föryngringsavverkning</t>
        </is>
      </c>
      <c r="D252" s="1" t="n">
        <v>46073</v>
      </c>
      <c r="E252" s="1" t="n">
        <v>46217</v>
      </c>
      <c r="F252" t="inlineStr">
        <is>
          <t>ÖREBRO LÄN</t>
        </is>
      </c>
      <c r="G252" t="inlineStr">
        <is>
          <t>LAXÅ</t>
        </is>
      </c>
      <c r="H252" t="inlineStr">
        <is>
          <t>Sveaskog</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9986-2026</t>
        </is>
      </c>
      <c r="B253" t="inlineStr">
        <is>
          <t>avverkningsanmälan</t>
        </is>
      </c>
      <c r="C253" t="inlineStr">
        <is>
          <t>Föryngringsavverkning</t>
        </is>
      </c>
      <c r="D253" s="1" t="n">
        <v>46073</v>
      </c>
      <c r="E253" s="1" t="n">
        <v>46217</v>
      </c>
      <c r="F253" t="inlineStr">
        <is>
          <t>ÖREBRO LÄN</t>
        </is>
      </c>
      <c r="G253" t="inlineStr">
        <is>
          <t>LAXÅ</t>
        </is>
      </c>
      <c r="H253" t="inlineStr">
        <is>
          <t>Sveaskog</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61091-2023</t>
        </is>
      </c>
      <c r="B254" t="inlineStr">
        <is>
          <t>avverkningsanmälan</t>
        </is>
      </c>
      <c r="C254" t="inlineStr">
        <is>
          <t>Föryngringsavverkning</t>
        </is>
      </c>
      <c r="D254" s="1" t="n">
        <v>45261</v>
      </c>
      <c r="E254" s="1" t="n">
        <v>46217</v>
      </c>
      <c r="F254" t="inlineStr">
        <is>
          <t>ÖREBRO LÄN</t>
        </is>
      </c>
      <c r="G254" t="inlineStr">
        <is>
          <t>LAXÅ</t>
        </is>
      </c>
      <c r="H254" t="inlineStr">
        <is>
          <t>Sveaskog</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23073-2026</t>
        </is>
      </c>
      <c r="B255" t="inlineStr">
        <is>
          <t>avverkningsanmälan</t>
        </is>
      </c>
      <c r="C255" t="inlineStr">
        <is>
          <t>Föryngringsavverkning</t>
        </is>
      </c>
      <c r="D255" s="1" t="n">
        <v>46161</v>
      </c>
      <c r="E255" s="1" t="n">
        <v>46217</v>
      </c>
      <c r="F255" t="inlineStr">
        <is>
          <t>ÖREBRO LÄN</t>
        </is>
      </c>
      <c r="G255" t="inlineStr">
        <is>
          <t>LAXÅ</t>
        </is>
      </c>
      <c r="H255" t="inlineStr">
        <is>
          <t>Sveaskog</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11653-2026</t>
        </is>
      </c>
      <c r="B256" t="inlineStr">
        <is>
          <t>avverkningsanmälan</t>
        </is>
      </c>
      <c r="C256" t="inlineStr">
        <is>
          <t>Föryngringsavverkning</t>
        </is>
      </c>
      <c r="D256" s="1" t="n">
        <v>46084</v>
      </c>
      <c r="E256" s="1" t="n">
        <v>46217</v>
      </c>
      <c r="F256" t="inlineStr">
        <is>
          <t>ÖREBRO LÄN</t>
        </is>
      </c>
      <c r="G256" t="inlineStr">
        <is>
          <t>LAXÅ</t>
        </is>
      </c>
      <c r="H256" t="inlineStr">
        <is>
          <t>Sveaskog</t>
        </is>
      </c>
      <c r="I256" t="n">
        <v>8.1</v>
      </c>
      <c r="J256" t="n">
        <v>0</v>
      </c>
      <c r="K256" t="n">
        <v>0</v>
      </c>
      <c r="L256" t="n">
        <v>0</v>
      </c>
      <c r="M256" t="n">
        <v>0</v>
      </c>
      <c r="N256" t="n">
        <v>0</v>
      </c>
      <c r="O256" t="n">
        <v>0</v>
      </c>
      <c r="P256" t="n">
        <v>0</v>
      </c>
      <c r="Q256" t="n">
        <v>0</v>
      </c>
      <c r="R256" t="n">
        <v>0</v>
      </c>
      <c r="S256" t="n">
        <v>0</v>
      </c>
      <c r="T256" t="n">
        <v>0</v>
      </c>
      <c r="U256" s="2" t="inlineStr"/>
    </row>
    <row r="257" ht="15" customHeight="1">
      <c r="A257" t="inlineStr">
        <is>
          <t>A 11851-2026</t>
        </is>
      </c>
      <c r="B257" t="inlineStr">
        <is>
          <t>avverkningsanmälan</t>
        </is>
      </c>
      <c r="C257" t="inlineStr">
        <is>
          <t>Föryngringsavverkning</t>
        </is>
      </c>
      <c r="D257" s="1" t="n">
        <v>46085</v>
      </c>
      <c r="E257" s="1" t="n">
        <v>46217</v>
      </c>
      <c r="F257" t="inlineStr">
        <is>
          <t>ÖREBRO LÄN</t>
        </is>
      </c>
      <c r="G257" t="inlineStr">
        <is>
          <t>LAXÅ</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37570-2023</t>
        </is>
      </c>
      <c r="B258" t="inlineStr">
        <is>
          <t>avverkningsanmälan</t>
        </is>
      </c>
      <c r="C258" t="inlineStr">
        <is>
          <t>Föryngringsavverkning</t>
        </is>
      </c>
      <c r="D258" s="1" t="n">
        <v>45159</v>
      </c>
      <c r="E258" s="1" t="n">
        <v>46217</v>
      </c>
      <c r="F258" t="inlineStr">
        <is>
          <t>ÖREBRO LÄN</t>
        </is>
      </c>
      <c r="G258" t="inlineStr">
        <is>
          <t>LAXÅ</t>
        </is>
      </c>
      <c r="H258" t="inlineStr">
        <is>
          <t>Sveaskog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34437-2022</t>
        </is>
      </c>
      <c r="B259" t="inlineStr">
        <is>
          <t>avverkningsanmälan</t>
        </is>
      </c>
      <c r="C259" t="inlineStr">
        <is>
          <t>Föryngringsavverkning</t>
        </is>
      </c>
      <c r="D259" s="1" t="n">
        <v>44792</v>
      </c>
      <c r="E259" s="1" t="n">
        <v>46217</v>
      </c>
      <c r="F259" t="inlineStr">
        <is>
          <t>ÖREBRO LÄN</t>
        </is>
      </c>
      <c r="G259" t="inlineStr">
        <is>
          <t>LAXÅ</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14462-2025</t>
        </is>
      </c>
      <c r="B260" t="inlineStr">
        <is>
          <t>avverkningsanmälan</t>
        </is>
      </c>
      <c r="C260" t="inlineStr">
        <is>
          <t>Föryngringsavverkning</t>
        </is>
      </c>
      <c r="D260" s="1" t="n">
        <v>45741</v>
      </c>
      <c r="E260" s="1" t="n">
        <v>46217</v>
      </c>
      <c r="F260" t="inlineStr">
        <is>
          <t>ÖREBRO LÄN</t>
        </is>
      </c>
      <c r="G260" t="inlineStr">
        <is>
          <t>LAXÅ</t>
        </is>
      </c>
      <c r="H260" t="inlineStr">
        <is>
          <t>Sveaskog</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54640-2023</t>
        </is>
      </c>
      <c r="B261" t="inlineStr">
        <is>
          <t>avverkningsanmälan</t>
        </is>
      </c>
      <c r="C261" t="inlineStr">
        <is>
          <t>Föryngringsavverkning</t>
        </is>
      </c>
      <c r="D261" s="1" t="n">
        <v>45234</v>
      </c>
      <c r="E261" s="1" t="n">
        <v>46217</v>
      </c>
      <c r="F261" t="inlineStr">
        <is>
          <t>ÖREBRO LÄN</t>
        </is>
      </c>
      <c r="G261" t="inlineStr">
        <is>
          <t>LAXÅ</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15130-2025</t>
        </is>
      </c>
      <c r="B262" t="inlineStr">
        <is>
          <t>avverkningsanmälan</t>
        </is>
      </c>
      <c r="C262" t="inlineStr">
        <is>
          <t>Avverkning för att bevara och utveckla /försöksver</t>
        </is>
      </c>
      <c r="D262" s="1" t="n">
        <v>45744</v>
      </c>
      <c r="E262" s="1" t="n">
        <v>46217</v>
      </c>
      <c r="F262" t="inlineStr">
        <is>
          <t>ÖREBRO LÄN</t>
        </is>
      </c>
      <c r="G262" t="inlineStr">
        <is>
          <t>LAXÅ</t>
        </is>
      </c>
      <c r="H262" t="inlineStr">
        <is>
          <t>Sveaskog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35130-2022</t>
        </is>
      </c>
      <c r="B263" t="inlineStr">
        <is>
          <t>avverkningsanmälan</t>
        </is>
      </c>
      <c r="C263" t="inlineStr">
        <is>
          <t>Avverkning för annat ändamål</t>
        </is>
      </c>
      <c r="D263" s="1" t="n">
        <v>44797</v>
      </c>
      <c r="E263" s="1" t="n">
        <v>46217</v>
      </c>
      <c r="F263" t="inlineStr">
        <is>
          <t>ÖREBRO LÄN</t>
        </is>
      </c>
      <c r="G263" t="inlineStr">
        <is>
          <t>LAXÅ</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19807-2025</t>
        </is>
      </c>
      <c r="B264" t="inlineStr">
        <is>
          <t>avverkningsanmälan</t>
        </is>
      </c>
      <c r="C264" t="inlineStr">
        <is>
          <t>Föryngringsavverkning</t>
        </is>
      </c>
      <c r="D264" s="1" t="n">
        <v>45771</v>
      </c>
      <c r="E264" s="1" t="n">
        <v>46217</v>
      </c>
      <c r="F264" t="inlineStr">
        <is>
          <t>ÖREBRO LÄN</t>
        </is>
      </c>
      <c r="G264" t="inlineStr">
        <is>
          <t>LAXÅ</t>
        </is>
      </c>
      <c r="H264" t="inlineStr">
        <is>
          <t>Sveaskog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14876-2026</t>
        </is>
      </c>
      <c r="B265" t="inlineStr">
        <is>
          <t>avverkningsanmälan</t>
        </is>
      </c>
      <c r="C265" t="inlineStr">
        <is>
          <t>Föryngringsavverkning</t>
        </is>
      </c>
      <c r="D265" s="1" t="n">
        <v>46104</v>
      </c>
      <c r="E265" s="1" t="n">
        <v>46217</v>
      </c>
      <c r="F265" t="inlineStr">
        <is>
          <t>ÖREBRO LÄN</t>
        </is>
      </c>
      <c r="G265" t="inlineStr">
        <is>
          <t>LAXÅ</t>
        </is>
      </c>
      <c r="H265" t="inlineStr">
        <is>
          <t>Sveaskog</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15341-2026</t>
        </is>
      </c>
      <c r="B266" t="inlineStr">
        <is>
          <t>avverkningsanmälan</t>
        </is>
      </c>
      <c r="C266" t="inlineStr">
        <is>
          <t>Föryngringsavverkning</t>
        </is>
      </c>
      <c r="D266" s="1" t="n">
        <v>46105</v>
      </c>
      <c r="E266" s="1" t="n">
        <v>46217</v>
      </c>
      <c r="F266" t="inlineStr">
        <is>
          <t>ÖREBRO LÄN</t>
        </is>
      </c>
      <c r="G266" t="inlineStr">
        <is>
          <t>LAXÅ</t>
        </is>
      </c>
      <c r="H266" t="inlineStr">
        <is>
          <t>Sveaskog</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14877-2026</t>
        </is>
      </c>
      <c r="B267" t="inlineStr">
        <is>
          <t>avverkningsanmälan</t>
        </is>
      </c>
      <c r="C267" t="inlineStr">
        <is>
          <t>Föryngringsavverkning</t>
        </is>
      </c>
      <c r="D267" s="1" t="n">
        <v>46104</v>
      </c>
      <c r="E267" s="1" t="n">
        <v>46217</v>
      </c>
      <c r="F267" t="inlineStr">
        <is>
          <t>ÖREBRO LÄN</t>
        </is>
      </c>
      <c r="G267" t="inlineStr">
        <is>
          <t>LAXÅ</t>
        </is>
      </c>
      <c r="H267" t="inlineStr">
        <is>
          <t>Sveaskog</t>
        </is>
      </c>
      <c r="I267" t="n">
        <v>4</v>
      </c>
      <c r="J267" t="n">
        <v>0</v>
      </c>
      <c r="K267" t="n">
        <v>0</v>
      </c>
      <c r="L267" t="n">
        <v>0</v>
      </c>
      <c r="M267" t="n">
        <v>0</v>
      </c>
      <c r="N267" t="n">
        <v>0</v>
      </c>
      <c r="O267" t="n">
        <v>0</v>
      </c>
      <c r="P267" t="n">
        <v>0</v>
      </c>
      <c r="Q267" t="n">
        <v>0</v>
      </c>
      <c r="R267" t="n">
        <v>0</v>
      </c>
      <c r="S267" t="n">
        <v>0</v>
      </c>
      <c r="T267" t="n">
        <v>0</v>
      </c>
      <c r="U267" s="2" t="inlineStr"/>
    </row>
    <row r="268" ht="15" customHeight="1">
      <c r="A268" t="inlineStr">
        <is>
          <t>A 15317-2026</t>
        </is>
      </c>
      <c r="B268" t="inlineStr">
        <is>
          <t>avverkningsanmälan</t>
        </is>
      </c>
      <c r="C268" t="inlineStr">
        <is>
          <t>Föryngringsavverkning</t>
        </is>
      </c>
      <c r="D268" s="1" t="n">
        <v>46105</v>
      </c>
      <c r="E268" s="1" t="n">
        <v>46217</v>
      </c>
      <c r="F268" t="inlineStr">
        <is>
          <t>ÖREBRO LÄN</t>
        </is>
      </c>
      <c r="G268" t="inlineStr">
        <is>
          <t>LAXÅ</t>
        </is>
      </c>
      <c r="H268" t="inlineStr">
        <is>
          <t>Sveaskog</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15314-2026</t>
        </is>
      </c>
      <c r="B269" t="inlineStr">
        <is>
          <t>avverkningsanmälan</t>
        </is>
      </c>
      <c r="C269" t="inlineStr">
        <is>
          <t>Föryngringsavverkning</t>
        </is>
      </c>
      <c r="D269" s="1" t="n">
        <v>46105</v>
      </c>
      <c r="E269" s="1" t="n">
        <v>46217</v>
      </c>
      <c r="F269" t="inlineStr">
        <is>
          <t>ÖREBRO LÄN</t>
        </is>
      </c>
      <c r="G269" t="inlineStr">
        <is>
          <t>LAXÅ</t>
        </is>
      </c>
      <c r="H269" t="inlineStr">
        <is>
          <t>Sveaskog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6300-2024</t>
        </is>
      </c>
      <c r="B270" t="inlineStr">
        <is>
          <t>avverkningsanmälan</t>
        </is>
      </c>
      <c r="C270" t="inlineStr">
        <is>
          <t>Föryngringsavverkning</t>
        </is>
      </c>
      <c r="D270" s="1" t="n">
        <v>45338</v>
      </c>
      <c r="E270" s="1" t="n">
        <v>46217</v>
      </c>
      <c r="F270" t="inlineStr">
        <is>
          <t>ÖREBRO LÄN</t>
        </is>
      </c>
      <c r="G270" t="inlineStr">
        <is>
          <t>LAXÅ</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15433-2026</t>
        </is>
      </c>
      <c r="B271" t="inlineStr">
        <is>
          <t>avverkningsanmälan</t>
        </is>
      </c>
      <c r="C271" t="inlineStr">
        <is>
          <t>Föryngringsavverkning</t>
        </is>
      </c>
      <c r="D271" s="1" t="n">
        <v>46106</v>
      </c>
      <c r="E271" s="1" t="n">
        <v>46217</v>
      </c>
      <c r="F271" t="inlineStr">
        <is>
          <t>ÖREBRO LÄN</t>
        </is>
      </c>
      <c r="G271" t="inlineStr">
        <is>
          <t>LAXÅ</t>
        </is>
      </c>
      <c r="H271" t="inlineStr">
        <is>
          <t>Sveaskog</t>
        </is>
      </c>
      <c r="I271" t="n">
        <v>12.4</v>
      </c>
      <c r="J271" t="n">
        <v>0</v>
      </c>
      <c r="K271" t="n">
        <v>0</v>
      </c>
      <c r="L271" t="n">
        <v>0</v>
      </c>
      <c r="M271" t="n">
        <v>0</v>
      </c>
      <c r="N271" t="n">
        <v>0</v>
      </c>
      <c r="O271" t="n">
        <v>0</v>
      </c>
      <c r="P271" t="n">
        <v>0</v>
      </c>
      <c r="Q271" t="n">
        <v>0</v>
      </c>
      <c r="R271" t="n">
        <v>0</v>
      </c>
      <c r="S271" t="n">
        <v>0</v>
      </c>
      <c r="T271" t="n">
        <v>0</v>
      </c>
      <c r="U271" s="2" t="inlineStr"/>
    </row>
    <row r="272" ht="15" customHeight="1">
      <c r="A272" t="inlineStr">
        <is>
          <t>A 60732-2023</t>
        </is>
      </c>
      <c r="B272" t="inlineStr">
        <is>
          <t>avverkningsanmälan</t>
        </is>
      </c>
      <c r="C272" t="inlineStr">
        <is>
          <t>Föryngringsavverkning</t>
        </is>
      </c>
      <c r="D272" s="1" t="n">
        <v>45260</v>
      </c>
      <c r="E272" s="1" t="n">
        <v>46217</v>
      </c>
      <c r="F272" t="inlineStr">
        <is>
          <t>ÖREBRO LÄN</t>
        </is>
      </c>
      <c r="G272" t="inlineStr">
        <is>
          <t>LAXÅ</t>
        </is>
      </c>
      <c r="H272" t="inlineStr">
        <is>
          <t>Sveaskog</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22927-2024</t>
        </is>
      </c>
      <c r="B273" t="inlineStr">
        <is>
          <t>avverkningsanmälan</t>
        </is>
      </c>
      <c r="C273" t="inlineStr">
        <is>
          <t>Föryngringsavverkning</t>
        </is>
      </c>
      <c r="D273" s="1" t="n">
        <v>45448</v>
      </c>
      <c r="E273" s="1" t="n">
        <v>46217</v>
      </c>
      <c r="F273" t="inlineStr">
        <is>
          <t>ÖREBRO LÄN</t>
        </is>
      </c>
      <c r="G273" t="inlineStr">
        <is>
          <t>LAXÅ</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52442-2022</t>
        </is>
      </c>
      <c r="B274" t="inlineStr">
        <is>
          <t>avverkningsanmälan</t>
        </is>
      </c>
      <c r="C274" t="inlineStr">
        <is>
          <t>Föryngringsavverkning</t>
        </is>
      </c>
      <c r="D274" s="1" t="n">
        <v>44874</v>
      </c>
      <c r="E274" s="1" t="n">
        <v>46217</v>
      </c>
      <c r="F274" t="inlineStr">
        <is>
          <t>ÖREBRO LÄN</t>
        </is>
      </c>
      <c r="G274" t="inlineStr">
        <is>
          <t>LAXÅ</t>
        </is>
      </c>
      <c r="H274" t="inlineStr">
        <is>
          <t>Sveaskog</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16483-2026</t>
        </is>
      </c>
      <c r="B275" t="inlineStr">
        <is>
          <t>avverkningsanmälan</t>
        </is>
      </c>
      <c r="C275" t="inlineStr">
        <is>
          <t>Föryngringsavverkning</t>
        </is>
      </c>
      <c r="D275" s="1" t="n">
        <v>46112</v>
      </c>
      <c r="E275" s="1" t="n">
        <v>46217</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s="2" t="inlineStr"/>
    </row>
    <row r="276" ht="15" customHeight="1">
      <c r="A276" t="inlineStr">
        <is>
          <t>A 34481-2022</t>
        </is>
      </c>
      <c r="B276" t="inlineStr">
        <is>
          <t>avverkningsanmälan</t>
        </is>
      </c>
      <c r="C276" t="inlineStr">
        <is>
          <t>Föryngringsavverkning</t>
        </is>
      </c>
      <c r="D276" s="1" t="n">
        <v>44792</v>
      </c>
      <c r="E276" s="1" t="n">
        <v>46217</v>
      </c>
      <c r="F276" t="inlineStr">
        <is>
          <t>ÖREBRO LÄN</t>
        </is>
      </c>
      <c r="G276" t="inlineStr">
        <is>
          <t>LAXÅ</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7137-2024</t>
        </is>
      </c>
      <c r="B277" t="inlineStr">
        <is>
          <t>avverkningsanmälan</t>
        </is>
      </c>
      <c r="C277" t="inlineStr">
        <is>
          <t>Föryngringsavverkning</t>
        </is>
      </c>
      <c r="D277" s="1" t="n">
        <v>45344</v>
      </c>
      <c r="E277" s="1" t="n">
        <v>46217</v>
      </c>
      <c r="F277" t="inlineStr">
        <is>
          <t>ÖREBRO LÄN</t>
        </is>
      </c>
      <c r="G277" t="inlineStr">
        <is>
          <t>LAXÅ</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34585-2022</t>
        </is>
      </c>
      <c r="B278" t="inlineStr">
        <is>
          <t>avverkningsanmälan</t>
        </is>
      </c>
      <c r="C278" t="inlineStr">
        <is>
          <t>Föryngringsavverkning</t>
        </is>
      </c>
      <c r="D278" s="1" t="n">
        <v>44795</v>
      </c>
      <c r="E278" s="1" t="n">
        <v>46217</v>
      </c>
      <c r="F278" t="inlineStr">
        <is>
          <t>ÖREBRO LÄN</t>
        </is>
      </c>
      <c r="G278" t="inlineStr">
        <is>
          <t>LAXÅ</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51822-2022</t>
        </is>
      </c>
      <c r="B279" t="inlineStr">
        <is>
          <t>avverkningsanmälan</t>
        </is>
      </c>
      <c r="C279" t="inlineStr">
        <is>
          <t>Föryngringsavverkning</t>
        </is>
      </c>
      <c r="D279" s="1" t="n">
        <v>44872</v>
      </c>
      <c r="E279" s="1" t="n">
        <v>46217</v>
      </c>
      <c r="F279" t="inlineStr">
        <is>
          <t>ÖREBRO LÄN</t>
        </is>
      </c>
      <c r="G279" t="inlineStr">
        <is>
          <t>LAXÅ</t>
        </is>
      </c>
      <c r="H279" t="inlineStr">
        <is>
          <t>Sveaskog</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36567-2024</t>
        </is>
      </c>
      <c r="B280" t="inlineStr">
        <is>
          <t>avverkningsanmälan</t>
        </is>
      </c>
      <c r="C280" t="inlineStr">
        <is>
          <t>Föryngringsavverkning</t>
        </is>
      </c>
      <c r="D280" s="1" t="n">
        <v>45537</v>
      </c>
      <c r="E280" s="1" t="n">
        <v>46217</v>
      </c>
      <c r="F280" t="inlineStr">
        <is>
          <t>ÖREBRO LÄN</t>
        </is>
      </c>
      <c r="G280" t="inlineStr">
        <is>
          <t>LAXÅ</t>
        </is>
      </c>
      <c r="H280" t="inlineStr">
        <is>
          <t>Sveaskog</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17405-2026</t>
        </is>
      </c>
      <c r="B281" t="inlineStr">
        <is>
          <t>avverkningsanmälan</t>
        </is>
      </c>
      <c r="C281" t="inlineStr">
        <is>
          <t>Föryngringsavverkning</t>
        </is>
      </c>
      <c r="D281" s="1" t="n">
        <v>46120</v>
      </c>
      <c r="E281" s="1" t="n">
        <v>46217</v>
      </c>
      <c r="F281" t="inlineStr">
        <is>
          <t>ÖREBRO LÄN</t>
        </is>
      </c>
      <c r="G281" t="inlineStr">
        <is>
          <t>LAXÅ</t>
        </is>
      </c>
      <c r="H281" t="inlineStr">
        <is>
          <t>Sveaskog</t>
        </is>
      </c>
      <c r="I281" t="n">
        <v>10.4</v>
      </c>
      <c r="J281" t="n">
        <v>0</v>
      </c>
      <c r="K281" t="n">
        <v>0</v>
      </c>
      <c r="L281" t="n">
        <v>0</v>
      </c>
      <c r="M281" t="n">
        <v>0</v>
      </c>
      <c r="N281" t="n">
        <v>0</v>
      </c>
      <c r="O281" t="n">
        <v>0</v>
      </c>
      <c r="P281" t="n">
        <v>0</v>
      </c>
      <c r="Q281" t="n">
        <v>0</v>
      </c>
      <c r="R281" t="n">
        <v>0</v>
      </c>
      <c r="S281" t="n">
        <v>0</v>
      </c>
      <c r="T281" t="n">
        <v>0</v>
      </c>
      <c r="U281" s="2" t="inlineStr"/>
    </row>
    <row r="282" ht="15" customHeight="1">
      <c r="A282" t="inlineStr">
        <is>
          <t>A 17407-2026</t>
        </is>
      </c>
      <c r="B282" t="inlineStr">
        <is>
          <t>avverkningsanmälan</t>
        </is>
      </c>
      <c r="C282" t="inlineStr">
        <is>
          <t>Föryngringsavverkning</t>
        </is>
      </c>
      <c r="D282" s="1" t="n">
        <v>46120</v>
      </c>
      <c r="E282" s="1" t="n">
        <v>46217</v>
      </c>
      <c r="F282" t="inlineStr">
        <is>
          <t>ÖREBRO LÄN</t>
        </is>
      </c>
      <c r="G282" t="inlineStr">
        <is>
          <t>LAXÅ</t>
        </is>
      </c>
      <c r="H282" t="inlineStr">
        <is>
          <t>Sveaskog</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30813-2026</t>
        </is>
      </c>
      <c r="B283" t="inlineStr">
        <is>
          <t>avverkningsanmälan</t>
        </is>
      </c>
      <c r="C283" t="inlineStr">
        <is>
          <t>Föryngringsavverkning</t>
        </is>
      </c>
      <c r="D283" s="1" t="n">
        <v>46212</v>
      </c>
      <c r="E283" s="1" t="n">
        <v>46217</v>
      </c>
      <c r="F283" t="inlineStr">
        <is>
          <t>ÖREBRO LÄN</t>
        </is>
      </c>
      <c r="G283" t="inlineStr">
        <is>
          <t>LAXÅ</t>
        </is>
      </c>
      <c r="H283" t="inlineStr">
        <is>
          <t>Sveaskog</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36544-2024</t>
        </is>
      </c>
      <c r="B284" t="inlineStr">
        <is>
          <t>avverkningsanmälan</t>
        </is>
      </c>
      <c r="C284" t="inlineStr">
        <is>
          <t>Föryngringsavverkning</t>
        </is>
      </c>
      <c r="D284" s="1" t="n">
        <v>45537</v>
      </c>
      <c r="E284" s="1" t="n">
        <v>46217</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15641-2024</t>
        </is>
      </c>
      <c r="B285" t="inlineStr">
        <is>
          <t>avverkningsanmälan</t>
        </is>
      </c>
      <c r="C285" t="inlineStr">
        <is>
          <t>Föryngringsavverkning</t>
        </is>
      </c>
      <c r="D285" s="1" t="n">
        <v>45403</v>
      </c>
      <c r="E285" s="1" t="n">
        <v>46217</v>
      </c>
      <c r="F285" t="inlineStr">
        <is>
          <t>ÖREBRO LÄN</t>
        </is>
      </c>
      <c r="G285" t="inlineStr">
        <is>
          <t>LAXÅ</t>
        </is>
      </c>
      <c r="I285" t="n">
        <v>4.6</v>
      </c>
      <c r="J285" t="n">
        <v>0</v>
      </c>
      <c r="K285" t="n">
        <v>0</v>
      </c>
      <c r="L285" t="n">
        <v>0</v>
      </c>
      <c r="M285" t="n">
        <v>0</v>
      </c>
      <c r="N285" t="n">
        <v>0</v>
      </c>
      <c r="O285" t="n">
        <v>0</v>
      </c>
      <c r="P285" t="n">
        <v>0</v>
      </c>
      <c r="Q285" t="n">
        <v>0</v>
      </c>
      <c r="R285" t="n">
        <v>0</v>
      </c>
      <c r="S285" t="n">
        <v>0</v>
      </c>
      <c r="T285" t="n">
        <v>0</v>
      </c>
      <c r="U285" s="2" t="inlineStr"/>
    </row>
    <row r="286" ht="15" customHeight="1">
      <c r="A286" t="inlineStr">
        <is>
          <t>A 7130-2024</t>
        </is>
      </c>
      <c r="B286" t="inlineStr">
        <is>
          <t>avverkningsanmälan</t>
        </is>
      </c>
      <c r="C286" t="inlineStr">
        <is>
          <t>Föryngringsavverkning</t>
        </is>
      </c>
      <c r="D286" s="1" t="n">
        <v>45344</v>
      </c>
      <c r="E286" s="1" t="n">
        <v>46217</v>
      </c>
      <c r="F286" t="inlineStr">
        <is>
          <t>ÖREBRO LÄN</t>
        </is>
      </c>
      <c r="G286" t="inlineStr">
        <is>
          <t>LAXÅ</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36421-2024</t>
        </is>
      </c>
      <c r="B287" t="inlineStr">
        <is>
          <t>avverkningsanmälan</t>
        </is>
      </c>
      <c r="C287" t="inlineStr">
        <is>
          <t>Föryngringsavverkning</t>
        </is>
      </c>
      <c r="D287" s="1" t="n">
        <v>45536</v>
      </c>
      <c r="E287" s="1" t="n">
        <v>46217</v>
      </c>
      <c r="F287" t="inlineStr">
        <is>
          <t>ÖREBRO LÄN</t>
        </is>
      </c>
      <c r="G287" t="inlineStr">
        <is>
          <t>LAXÅ</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62439-2021</t>
        </is>
      </c>
      <c r="B288" t="inlineStr">
        <is>
          <t>avverkningsanmälan</t>
        </is>
      </c>
      <c r="C288" t="inlineStr">
        <is>
          <t>Föryngringsavverkning</t>
        </is>
      </c>
      <c r="D288" s="1" t="n">
        <v>44503</v>
      </c>
      <c r="E288" s="1" t="n">
        <v>46217</v>
      </c>
      <c r="F288" t="inlineStr">
        <is>
          <t>ÖREBRO LÄN</t>
        </is>
      </c>
      <c r="G288" t="inlineStr">
        <is>
          <t>LAXÅ</t>
        </is>
      </c>
      <c r="H288" t="inlineStr">
        <is>
          <t>Sveaskog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24741-2026</t>
        </is>
      </c>
      <c r="B289" t="inlineStr">
        <is>
          <t>avverkningsanmälan</t>
        </is>
      </c>
      <c r="C289" t="inlineStr">
        <is>
          <t>Föryngringsavverkning</t>
        </is>
      </c>
      <c r="D289" s="1" t="n">
        <v>46171</v>
      </c>
      <c r="E289" s="1" t="n">
        <v>46217</v>
      </c>
      <c r="F289" t="inlineStr">
        <is>
          <t>ÖREBRO LÄN</t>
        </is>
      </c>
      <c r="G289" t="inlineStr">
        <is>
          <t>LAXÅ</t>
        </is>
      </c>
      <c r="H289" t="inlineStr">
        <is>
          <t>Sveaskog</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6842-2022</t>
        </is>
      </c>
      <c r="B290" t="inlineStr">
        <is>
          <t>avverkningsanmälan</t>
        </is>
      </c>
      <c r="C290" t="inlineStr">
        <is>
          <t>Föryngringsavverkning</t>
        </is>
      </c>
      <c r="D290" s="1" t="n">
        <v>44602</v>
      </c>
      <c r="E290" s="1" t="n">
        <v>46217</v>
      </c>
      <c r="F290" t="inlineStr">
        <is>
          <t>ÖREBRO LÄN</t>
        </is>
      </c>
      <c r="G290" t="inlineStr">
        <is>
          <t>LAXÅ</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59455-2022</t>
        </is>
      </c>
      <c r="B291" t="inlineStr">
        <is>
          <t>avverkningsanmälan</t>
        </is>
      </c>
      <c r="C291" t="inlineStr">
        <is>
          <t>Föryngringsavverkning</t>
        </is>
      </c>
      <c r="D291" s="1" t="n">
        <v>44907</v>
      </c>
      <c r="E291" s="1" t="n">
        <v>46217</v>
      </c>
      <c r="F291" t="inlineStr">
        <is>
          <t>ÖREBRO LÄN</t>
        </is>
      </c>
      <c r="G291" t="inlineStr">
        <is>
          <t>LAXÅ</t>
        </is>
      </c>
      <c r="H291" t="inlineStr">
        <is>
          <t>Sveaskog</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3443-2023</t>
        </is>
      </c>
      <c r="B292" t="inlineStr">
        <is>
          <t>avverkningsanmälan</t>
        </is>
      </c>
      <c r="C292" t="inlineStr">
        <is>
          <t>Föryngringsavverkning</t>
        </is>
      </c>
      <c r="D292" s="1" t="n">
        <v>44949</v>
      </c>
      <c r="E292" s="1" t="n">
        <v>46217</v>
      </c>
      <c r="F292" t="inlineStr">
        <is>
          <t>ÖREBRO LÄN</t>
        </is>
      </c>
      <c r="G292" t="inlineStr">
        <is>
          <t>LAXÅ</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44076-2024</t>
        </is>
      </c>
      <c r="B293" t="inlineStr">
        <is>
          <t>avverkningsanmälan</t>
        </is>
      </c>
      <c r="C293" t="inlineStr">
        <is>
          <t>Föryngringsavverkning</t>
        </is>
      </c>
      <c r="D293" s="1" t="n">
        <v>45572</v>
      </c>
      <c r="E293" s="1" t="n">
        <v>46217</v>
      </c>
      <c r="F293" t="inlineStr">
        <is>
          <t>ÖREBRO LÄN</t>
        </is>
      </c>
      <c r="G293" t="inlineStr">
        <is>
          <t>LAXÅ</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59892-2021</t>
        </is>
      </c>
      <c r="B294" t="inlineStr">
        <is>
          <t>avverkningsanmälan</t>
        </is>
      </c>
      <c r="C294" t="inlineStr">
        <is>
          <t>Föryngringsavverkning</t>
        </is>
      </c>
      <c r="D294" s="1" t="n">
        <v>44494</v>
      </c>
      <c r="E294" s="1" t="n">
        <v>46217</v>
      </c>
      <c r="F294" t="inlineStr">
        <is>
          <t>ÖREBRO LÄN</t>
        </is>
      </c>
      <c r="G294" t="inlineStr">
        <is>
          <t>LAXÅ</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61046-2023</t>
        </is>
      </c>
      <c r="B295" t="inlineStr">
        <is>
          <t>avverkningsanmälan</t>
        </is>
      </c>
      <c r="C295" t="inlineStr">
        <is>
          <t>Föryngringsavverkning</t>
        </is>
      </c>
      <c r="D295" s="1" t="n">
        <v>45261</v>
      </c>
      <c r="E295" s="1" t="n">
        <v>46217</v>
      </c>
      <c r="F295" t="inlineStr">
        <is>
          <t>ÖREBRO LÄN</t>
        </is>
      </c>
      <c r="G295" t="inlineStr">
        <is>
          <t>LAXÅ</t>
        </is>
      </c>
      <c r="H295" t="inlineStr">
        <is>
          <t>Sveaskog</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61677-2022</t>
        </is>
      </c>
      <c r="B296" t="inlineStr">
        <is>
          <t>avverkningsanmälan</t>
        </is>
      </c>
      <c r="C296" t="inlineStr">
        <is>
          <t>Föryngringsavverkning</t>
        </is>
      </c>
      <c r="D296" s="1" t="n">
        <v>44917</v>
      </c>
      <c r="E296" s="1" t="n">
        <v>46217</v>
      </c>
      <c r="F296" t="inlineStr">
        <is>
          <t>ÖREBRO LÄN</t>
        </is>
      </c>
      <c r="G296" t="inlineStr">
        <is>
          <t>LAXÅ</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40815-2024</t>
        </is>
      </c>
      <c r="B297" t="inlineStr">
        <is>
          <t>avverkningsanmälan</t>
        </is>
      </c>
      <c r="C297" t="inlineStr">
        <is>
          <t>Föryngringsavverkning</t>
        </is>
      </c>
      <c r="D297" s="1" t="n">
        <v>45558</v>
      </c>
      <c r="E297" s="1" t="n">
        <v>46217</v>
      </c>
      <c r="F297" t="inlineStr">
        <is>
          <t>ÖREBRO LÄN</t>
        </is>
      </c>
      <c r="G297" t="inlineStr">
        <is>
          <t>LAXÅ</t>
        </is>
      </c>
      <c r="H297" t="inlineStr">
        <is>
          <t>Sveaskog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62594-2023</t>
        </is>
      </c>
      <c r="B298" t="inlineStr">
        <is>
          <t>avverkningsanmälan</t>
        </is>
      </c>
      <c r="C298" t="inlineStr">
        <is>
          <t>Föryngringsavverkning</t>
        </is>
      </c>
      <c r="D298" s="1" t="n">
        <v>45271</v>
      </c>
      <c r="E298" s="1" t="n">
        <v>46217</v>
      </c>
      <c r="F298" t="inlineStr">
        <is>
          <t>ÖREBRO LÄN</t>
        </is>
      </c>
      <c r="G298" t="inlineStr">
        <is>
          <t>LAXÅ</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38564-2022</t>
        </is>
      </c>
      <c r="B299" t="inlineStr">
        <is>
          <t>avverkningsanmälan</t>
        </is>
      </c>
      <c r="C299" t="inlineStr">
        <is>
          <t>Föryngringsavverkning</t>
        </is>
      </c>
      <c r="D299" s="1" t="n">
        <v>44813</v>
      </c>
      <c r="E299" s="1" t="n">
        <v>46217</v>
      </c>
      <c r="F299" t="inlineStr">
        <is>
          <t>ÖREBRO LÄN</t>
        </is>
      </c>
      <c r="G299" t="inlineStr">
        <is>
          <t>LAXÅ</t>
        </is>
      </c>
      <c r="H299" t="inlineStr">
        <is>
          <t>Sveaskog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54093-2023</t>
        </is>
      </c>
      <c r="B300" t="inlineStr">
        <is>
          <t>avverkningsanmälan</t>
        </is>
      </c>
      <c r="C300" t="inlineStr">
        <is>
          <t>Avverkning för annat ändamål</t>
        </is>
      </c>
      <c r="D300" s="1" t="n">
        <v>45225</v>
      </c>
      <c r="E300" s="1" t="n">
        <v>46217</v>
      </c>
      <c r="F300" t="inlineStr">
        <is>
          <t>ÖREBRO LÄN</t>
        </is>
      </c>
      <c r="G300" t="inlineStr">
        <is>
          <t>LAXÅ</t>
        </is>
      </c>
      <c r="I300" t="n">
        <v>5.9</v>
      </c>
      <c r="J300" t="n">
        <v>0</v>
      </c>
      <c r="K300" t="n">
        <v>0</v>
      </c>
      <c r="L300" t="n">
        <v>0</v>
      </c>
      <c r="M300" t="n">
        <v>0</v>
      </c>
      <c r="N300" t="n">
        <v>0</v>
      </c>
      <c r="O300" t="n">
        <v>0</v>
      </c>
      <c r="P300" t="n">
        <v>0</v>
      </c>
      <c r="Q300" t="n">
        <v>0</v>
      </c>
      <c r="R300" t="n">
        <v>0</v>
      </c>
      <c r="S300" t="n">
        <v>0</v>
      </c>
      <c r="T300" t="n">
        <v>0</v>
      </c>
      <c r="U300" s="2" t="inlineStr"/>
    </row>
    <row r="301" ht="15" customHeight="1">
      <c r="A301" t="inlineStr">
        <is>
          <t>A 5917-2023</t>
        </is>
      </c>
      <c r="B301" t="inlineStr">
        <is>
          <t>avverkningsanmälan</t>
        </is>
      </c>
      <c r="C301" t="inlineStr">
        <is>
          <t>Föryngringsavverkning</t>
        </is>
      </c>
      <c r="D301" s="1" t="n">
        <v>44963</v>
      </c>
      <c r="E301" s="1" t="n">
        <v>46217</v>
      </c>
      <c r="F301" t="inlineStr">
        <is>
          <t>ÖREBRO LÄN</t>
        </is>
      </c>
      <c r="G301" t="inlineStr">
        <is>
          <t>LAXÅ</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34535-2024</t>
        </is>
      </c>
      <c r="B302" t="inlineStr">
        <is>
          <t>avverkningsanmälan</t>
        </is>
      </c>
      <c r="C302" t="inlineStr">
        <is>
          <t>Föryngringsavverkning</t>
        </is>
      </c>
      <c r="D302" s="1" t="n">
        <v>45525</v>
      </c>
      <c r="E302" s="1" t="n">
        <v>46217</v>
      </c>
      <c r="F302" t="inlineStr">
        <is>
          <t>ÖREBRO LÄN</t>
        </is>
      </c>
      <c r="G302" t="inlineStr">
        <is>
          <t>LAXÅ</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14008-2024</t>
        </is>
      </c>
      <c r="B303" t="inlineStr">
        <is>
          <t>avverkningsanmälan</t>
        </is>
      </c>
      <c r="C303" t="inlineStr">
        <is>
          <t>Avverkning för att bevara och utveckla /försöksver</t>
        </is>
      </c>
      <c r="D303" s="1" t="n">
        <v>45392</v>
      </c>
      <c r="E303" s="1" t="n">
        <v>46217</v>
      </c>
      <c r="F303" t="inlineStr">
        <is>
          <t>ÖREBRO LÄN</t>
        </is>
      </c>
      <c r="G303" t="inlineStr">
        <is>
          <t>LAXÅ</t>
        </is>
      </c>
      <c r="H303" t="inlineStr">
        <is>
          <t>Sveaskog</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28112-2022</t>
        </is>
      </c>
      <c r="B304" t="inlineStr">
        <is>
          <t>avverkningsanmälan</t>
        </is>
      </c>
      <c r="C304" t="inlineStr">
        <is>
          <t>Föryngringsavverkning</t>
        </is>
      </c>
      <c r="D304" s="1" t="n">
        <v>44746</v>
      </c>
      <c r="E304" s="1" t="n">
        <v>46217</v>
      </c>
      <c r="F304" t="inlineStr">
        <is>
          <t>ÖREBRO LÄN</t>
        </is>
      </c>
      <c r="G304" t="inlineStr">
        <is>
          <t>LAXÅ</t>
        </is>
      </c>
      <c r="H304" t="inlineStr">
        <is>
          <t>Sveaskog</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21005-2024</t>
        </is>
      </c>
      <c r="B305" t="inlineStr">
        <is>
          <t>avverkningsanmälan</t>
        </is>
      </c>
      <c r="C305" t="inlineStr">
        <is>
          <t>Föryngringsavverkning</t>
        </is>
      </c>
      <c r="D305" s="1" t="n">
        <v>45439</v>
      </c>
      <c r="E305" s="1" t="n">
        <v>46217</v>
      </c>
      <c r="F305" t="inlineStr">
        <is>
          <t>ÖREBRO LÄN</t>
        </is>
      </c>
      <c r="G305" t="inlineStr">
        <is>
          <t>LAXÅ</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34218-2023</t>
        </is>
      </c>
      <c r="B306" t="inlineStr">
        <is>
          <t>avverkningsanmälan</t>
        </is>
      </c>
      <c r="C306" t="inlineStr">
        <is>
          <t>Föryngringsavverkning</t>
        </is>
      </c>
      <c r="D306" s="1" t="n">
        <v>45126</v>
      </c>
      <c r="E306" s="1" t="n">
        <v>46217</v>
      </c>
      <c r="F306" t="inlineStr">
        <is>
          <t>ÖREBRO LÄN</t>
        </is>
      </c>
      <c r="G306" t="inlineStr">
        <is>
          <t>LAXÅ</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34225-2023</t>
        </is>
      </c>
      <c r="B307" t="inlineStr">
        <is>
          <t>avverkningsanmälan</t>
        </is>
      </c>
      <c r="C307" t="inlineStr">
        <is>
          <t>Föryngringsavverkning</t>
        </is>
      </c>
      <c r="D307" s="1" t="n">
        <v>45126</v>
      </c>
      <c r="E307" s="1" t="n">
        <v>46217</v>
      </c>
      <c r="F307" t="inlineStr">
        <is>
          <t>ÖREBRO LÄN</t>
        </is>
      </c>
      <c r="G307" t="inlineStr">
        <is>
          <t>LAXÅ</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25602-2023</t>
        </is>
      </c>
      <c r="B308" t="inlineStr">
        <is>
          <t>avverkningsanmälan</t>
        </is>
      </c>
      <c r="C308" t="inlineStr">
        <is>
          <t>Föryngringsavverkning</t>
        </is>
      </c>
      <c r="D308" s="1" t="n">
        <v>45089</v>
      </c>
      <c r="E308" s="1" t="n">
        <v>46217</v>
      </c>
      <c r="F308" t="inlineStr">
        <is>
          <t>ÖREBRO LÄN</t>
        </is>
      </c>
      <c r="G308" t="inlineStr">
        <is>
          <t>LAXÅ</t>
        </is>
      </c>
      <c r="H308" t="inlineStr">
        <is>
          <t>Övriga statliga verk och myndigheter</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38613-2023</t>
        </is>
      </c>
      <c r="B309" t="inlineStr">
        <is>
          <t>avverkningsanmälan</t>
        </is>
      </c>
      <c r="C309" t="inlineStr">
        <is>
          <t>Föryngringsavverkning</t>
        </is>
      </c>
      <c r="D309" s="1" t="n">
        <v>45160</v>
      </c>
      <c r="E309" s="1" t="n">
        <v>46217</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57497-2023</t>
        </is>
      </c>
      <c r="B310" t="inlineStr">
        <is>
          <t>avverkningsanmälan</t>
        </is>
      </c>
      <c r="C310" t="inlineStr">
        <is>
          <t>Föryngringsavverkning</t>
        </is>
      </c>
      <c r="D310" s="1" t="n">
        <v>45240</v>
      </c>
      <c r="E310" s="1" t="n">
        <v>46217</v>
      </c>
      <c r="F310" t="inlineStr">
        <is>
          <t>ÖREBRO LÄN</t>
        </is>
      </c>
      <c r="G310" t="inlineStr">
        <is>
          <t>LAXÅ</t>
        </is>
      </c>
      <c r="I310" t="n">
        <v>8.1</v>
      </c>
      <c r="J310" t="n">
        <v>0</v>
      </c>
      <c r="K310" t="n">
        <v>0</v>
      </c>
      <c r="L310" t="n">
        <v>0</v>
      </c>
      <c r="M310" t="n">
        <v>0</v>
      </c>
      <c r="N310" t="n">
        <v>0</v>
      </c>
      <c r="O310" t="n">
        <v>0</v>
      </c>
      <c r="P310" t="n">
        <v>0</v>
      </c>
      <c r="Q310" t="n">
        <v>0</v>
      </c>
      <c r="R310" t="n">
        <v>0</v>
      </c>
      <c r="S310" t="n">
        <v>0</v>
      </c>
      <c r="T310" t="n">
        <v>0</v>
      </c>
      <c r="U310" s="2" t="inlineStr"/>
    </row>
    <row r="311" ht="15" customHeight="1">
      <c r="A311" t="inlineStr">
        <is>
          <t>A 57503-2023</t>
        </is>
      </c>
      <c r="B311" t="inlineStr">
        <is>
          <t>avverkningsanmälan</t>
        </is>
      </c>
      <c r="C311" t="inlineStr">
        <is>
          <t>Föryngringsavverkning</t>
        </is>
      </c>
      <c r="D311" s="1" t="n">
        <v>45240</v>
      </c>
      <c r="E311" s="1" t="n">
        <v>46217</v>
      </c>
      <c r="F311" t="inlineStr">
        <is>
          <t>ÖREBRO LÄN</t>
        </is>
      </c>
      <c r="G311" t="inlineStr">
        <is>
          <t>LAXÅ</t>
        </is>
      </c>
      <c r="I311" t="n">
        <v>11.5</v>
      </c>
      <c r="J311" t="n">
        <v>0</v>
      </c>
      <c r="K311" t="n">
        <v>0</v>
      </c>
      <c r="L311" t="n">
        <v>0</v>
      </c>
      <c r="M311" t="n">
        <v>0</v>
      </c>
      <c r="N311" t="n">
        <v>0</v>
      </c>
      <c r="O311" t="n">
        <v>0</v>
      </c>
      <c r="P311" t="n">
        <v>0</v>
      </c>
      <c r="Q311" t="n">
        <v>0</v>
      </c>
      <c r="R311" t="n">
        <v>0</v>
      </c>
      <c r="S311" t="n">
        <v>0</v>
      </c>
      <c r="T311" t="n">
        <v>0</v>
      </c>
      <c r="U311" s="2" t="inlineStr"/>
    </row>
    <row r="312" ht="15" customHeight="1">
      <c r="A312" t="inlineStr">
        <is>
          <t>A 54511-2023</t>
        </is>
      </c>
      <c r="B312" t="inlineStr">
        <is>
          <t>avverkningsanmälan</t>
        </is>
      </c>
      <c r="C312" t="inlineStr">
        <is>
          <t>Föryngringsavverkning</t>
        </is>
      </c>
      <c r="D312" s="1" t="n">
        <v>45233</v>
      </c>
      <c r="E312" s="1" t="n">
        <v>46217</v>
      </c>
      <c r="F312" t="inlineStr">
        <is>
          <t>ÖREBRO LÄN</t>
        </is>
      </c>
      <c r="G312" t="inlineStr">
        <is>
          <t>LAXÅ</t>
        </is>
      </c>
      <c r="H312" t="inlineStr">
        <is>
          <t>Övriga statliga verk och myndigheter</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8530-2025</t>
        </is>
      </c>
      <c r="B313" t="inlineStr">
        <is>
          <t>avverkningsanmälan</t>
        </is>
      </c>
      <c r="C313" t="inlineStr">
        <is>
          <t>Föryngringsavverkning</t>
        </is>
      </c>
      <c r="D313" s="1" t="n">
        <v>45709</v>
      </c>
      <c r="E313" s="1" t="n">
        <v>46217</v>
      </c>
      <c r="F313" t="inlineStr">
        <is>
          <t>ÖREBRO LÄN</t>
        </is>
      </c>
      <c r="G313" t="inlineStr">
        <is>
          <t>LAXÅ</t>
        </is>
      </c>
      <c r="H313" t="inlineStr">
        <is>
          <t>Sveaskog</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33930-2023</t>
        </is>
      </c>
      <c r="B314" t="inlineStr">
        <is>
          <t>avverkningsanmälan</t>
        </is>
      </c>
      <c r="C314" t="inlineStr">
        <is>
          <t>Föryngringsavverkning</t>
        </is>
      </c>
      <c r="D314" s="1" t="n">
        <v>45134</v>
      </c>
      <c r="E314" s="1" t="n">
        <v>46217</v>
      </c>
      <c r="F314" t="inlineStr">
        <is>
          <t>ÖREBRO LÄN</t>
        </is>
      </c>
      <c r="G314" t="inlineStr">
        <is>
          <t>LAXÅ</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31189-2024</t>
        </is>
      </c>
      <c r="B315" t="inlineStr">
        <is>
          <t>avverkningsanmälan</t>
        </is>
      </c>
      <c r="C315" t="inlineStr">
        <is>
          <t>Föryngringsavverkning</t>
        </is>
      </c>
      <c r="D315" s="1" t="n">
        <v>45503</v>
      </c>
      <c r="E315" s="1" t="n">
        <v>46217</v>
      </c>
      <c r="F315" t="inlineStr">
        <is>
          <t>ÖREBRO LÄN</t>
        </is>
      </c>
      <c r="G315" t="inlineStr">
        <is>
          <t>LAXÅ</t>
        </is>
      </c>
      <c r="I315" t="n">
        <v>4.8</v>
      </c>
      <c r="J315" t="n">
        <v>0</v>
      </c>
      <c r="K315" t="n">
        <v>0</v>
      </c>
      <c r="L315" t="n">
        <v>0</v>
      </c>
      <c r="M315" t="n">
        <v>0</v>
      </c>
      <c r="N315" t="n">
        <v>0</v>
      </c>
      <c r="O315" t="n">
        <v>0</v>
      </c>
      <c r="P315" t="n">
        <v>0</v>
      </c>
      <c r="Q315" t="n">
        <v>0</v>
      </c>
      <c r="R315" t="n">
        <v>0</v>
      </c>
      <c r="S315" t="n">
        <v>0</v>
      </c>
      <c r="T315" t="n">
        <v>0</v>
      </c>
      <c r="U315" s="2" t="inlineStr"/>
    </row>
    <row r="316" ht="15" customHeight="1">
      <c r="A316" t="inlineStr">
        <is>
          <t>A 31190-2024</t>
        </is>
      </c>
      <c r="B316" t="inlineStr">
        <is>
          <t>avverkningsanmälan</t>
        </is>
      </c>
      <c r="C316" t="inlineStr">
        <is>
          <t>Föryngringsavverkning</t>
        </is>
      </c>
      <c r="D316" s="1" t="n">
        <v>45503</v>
      </c>
      <c r="E316" s="1" t="n">
        <v>46217</v>
      </c>
      <c r="F316" t="inlineStr">
        <is>
          <t>ÖREBRO LÄN</t>
        </is>
      </c>
      <c r="G316" t="inlineStr">
        <is>
          <t>LAXÅ</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21548-2024</t>
        </is>
      </c>
      <c r="B317" t="inlineStr">
        <is>
          <t>avverkningsanmälan</t>
        </is>
      </c>
      <c r="C317" t="inlineStr">
        <is>
          <t>Föryngringsavverkning</t>
        </is>
      </c>
      <c r="D317" s="1" t="n">
        <v>45441</v>
      </c>
      <c r="E317" s="1" t="n">
        <v>46217</v>
      </c>
      <c r="F317" t="inlineStr">
        <is>
          <t>ÖREBRO LÄN</t>
        </is>
      </c>
      <c r="G317" t="inlineStr">
        <is>
          <t>LAXÅ</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34567-2024</t>
        </is>
      </c>
      <c r="B318" t="inlineStr">
        <is>
          <t>avverkningsanmälan</t>
        </is>
      </c>
      <c r="C318" t="inlineStr">
        <is>
          <t>Föryngringsavverkning</t>
        </is>
      </c>
      <c r="D318" s="1" t="n">
        <v>45525</v>
      </c>
      <c r="E318" s="1" t="n">
        <v>46217</v>
      </c>
      <c r="F318" t="inlineStr">
        <is>
          <t>ÖREBRO LÄN</t>
        </is>
      </c>
      <c r="G318" t="inlineStr">
        <is>
          <t>LAXÅ</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48782-2024</t>
        </is>
      </c>
      <c r="B319" t="inlineStr">
        <is>
          <t>avverkningsanmälan</t>
        </is>
      </c>
      <c r="C319" t="inlineStr">
        <is>
          <t>Föryngringsavverkning</t>
        </is>
      </c>
      <c r="D319" s="1" t="n">
        <v>45593</v>
      </c>
      <c r="E319" s="1" t="n">
        <v>46217</v>
      </c>
      <c r="F319" t="inlineStr">
        <is>
          <t>ÖREBRO LÄN</t>
        </is>
      </c>
      <c r="G319" t="inlineStr">
        <is>
          <t>LAXÅ</t>
        </is>
      </c>
      <c r="H319" t="inlineStr">
        <is>
          <t>Sveaskog</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10496-2024</t>
        </is>
      </c>
      <c r="B320" t="inlineStr">
        <is>
          <t>avverkningsanmälan</t>
        </is>
      </c>
      <c r="C320" t="inlineStr">
        <is>
          <t>Föryngringsavverkning</t>
        </is>
      </c>
      <c r="D320" s="1" t="n">
        <v>45366</v>
      </c>
      <c r="E320" s="1" t="n">
        <v>46217</v>
      </c>
      <c r="F320" t="inlineStr">
        <is>
          <t>ÖREBRO LÄN</t>
        </is>
      </c>
      <c r="G320" t="inlineStr">
        <is>
          <t>LAXÅ</t>
        </is>
      </c>
      <c r="H320" t="inlineStr">
        <is>
          <t>Sveaskog</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13104-2025</t>
        </is>
      </c>
      <c r="B321" t="inlineStr">
        <is>
          <t>avverkningsanmälan</t>
        </is>
      </c>
      <c r="C321" t="inlineStr">
        <is>
          <t>Föryngringsavverkning</t>
        </is>
      </c>
      <c r="D321" s="1" t="n">
        <v>45734</v>
      </c>
      <c r="E321" s="1" t="n">
        <v>46217</v>
      </c>
      <c r="F321" t="inlineStr">
        <is>
          <t>ÖREBRO LÄN</t>
        </is>
      </c>
      <c r="G321" t="inlineStr">
        <is>
          <t>LAXÅ</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60392-2023</t>
        </is>
      </c>
      <c r="B322" t="inlineStr">
        <is>
          <t>avverkningsanmälan</t>
        </is>
      </c>
      <c r="C322" t="inlineStr">
        <is>
          <t>Föryngringsavverkning</t>
        </is>
      </c>
      <c r="D322" s="1" t="n">
        <v>45259</v>
      </c>
      <c r="E322" s="1" t="n">
        <v>46217</v>
      </c>
      <c r="F322" t="inlineStr">
        <is>
          <t>ÖREBRO LÄN</t>
        </is>
      </c>
      <c r="G322" t="inlineStr">
        <is>
          <t>LAXÅ</t>
        </is>
      </c>
      <c r="H322" t="inlineStr">
        <is>
          <t>Sveaskog</t>
        </is>
      </c>
      <c r="I322" t="n">
        <v>4.9</v>
      </c>
      <c r="J322" t="n">
        <v>0</v>
      </c>
      <c r="K322" t="n">
        <v>0</v>
      </c>
      <c r="L322" t="n">
        <v>0</v>
      </c>
      <c r="M322" t="n">
        <v>0</v>
      </c>
      <c r="N322" t="n">
        <v>0</v>
      </c>
      <c r="O322" t="n">
        <v>0</v>
      </c>
      <c r="P322" t="n">
        <v>0</v>
      </c>
      <c r="Q322" t="n">
        <v>0</v>
      </c>
      <c r="R322" t="n">
        <v>0</v>
      </c>
      <c r="S322" t="n">
        <v>0</v>
      </c>
      <c r="T322" t="n">
        <v>0</v>
      </c>
      <c r="U322" s="2" t="inlineStr"/>
    </row>
    <row r="323" ht="15" customHeight="1">
      <c r="A323" t="inlineStr">
        <is>
          <t>A 12651-2024</t>
        </is>
      </c>
      <c r="B323" t="inlineStr">
        <is>
          <t>avverkningsanmälan</t>
        </is>
      </c>
      <c r="C323" t="inlineStr">
        <is>
          <t>Föryngringsavverkning</t>
        </is>
      </c>
      <c r="D323" s="1" t="n">
        <v>45384</v>
      </c>
      <c r="E323" s="1" t="n">
        <v>46217</v>
      </c>
      <c r="F323" t="inlineStr">
        <is>
          <t>ÖREBRO LÄN</t>
        </is>
      </c>
      <c r="G323" t="inlineStr">
        <is>
          <t>LAXÅ</t>
        </is>
      </c>
      <c r="H323" t="inlineStr">
        <is>
          <t>Sveaskog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6452-2024</t>
        </is>
      </c>
      <c r="B324" t="inlineStr">
        <is>
          <t>avverkningsanmälan</t>
        </is>
      </c>
      <c r="C324" t="inlineStr">
        <is>
          <t>Föryngringsavverkning</t>
        </is>
      </c>
      <c r="D324" s="1" t="n">
        <v>45338</v>
      </c>
      <c r="E324" s="1" t="n">
        <v>46217</v>
      </c>
      <c r="F324" t="inlineStr">
        <is>
          <t>ÖREBRO LÄN</t>
        </is>
      </c>
      <c r="G324" t="inlineStr">
        <is>
          <t>LAXÅ</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26412-2023</t>
        </is>
      </c>
      <c r="B325" t="inlineStr">
        <is>
          <t>avverkningsanmälan</t>
        </is>
      </c>
      <c r="C325" t="inlineStr">
        <is>
          <t>Föryngringsavverkning</t>
        </is>
      </c>
      <c r="D325" s="1" t="n">
        <v>45092</v>
      </c>
      <c r="E325" s="1" t="n">
        <v>46217</v>
      </c>
      <c r="F325" t="inlineStr">
        <is>
          <t>ÖREBRO LÄN</t>
        </is>
      </c>
      <c r="G325" t="inlineStr">
        <is>
          <t>LAXÅ</t>
        </is>
      </c>
      <c r="H325" t="inlineStr">
        <is>
          <t>Sveaskog</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41601-2023</t>
        </is>
      </c>
      <c r="B326" t="inlineStr">
        <is>
          <t>avverkningsanmälan</t>
        </is>
      </c>
      <c r="C326" t="inlineStr">
        <is>
          <t>Föryngringsavverkning</t>
        </is>
      </c>
      <c r="D326" s="1" t="n">
        <v>45175</v>
      </c>
      <c r="E326" s="1" t="n">
        <v>46217</v>
      </c>
      <c r="F326" t="inlineStr">
        <is>
          <t>ÖREBRO LÄN</t>
        </is>
      </c>
      <c r="G326" t="inlineStr">
        <is>
          <t>LAXÅ</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50402-2023</t>
        </is>
      </c>
      <c r="B327" t="inlineStr">
        <is>
          <t>avverkningsanmälan</t>
        </is>
      </c>
      <c r="C327" t="inlineStr">
        <is>
          <t>Föryngringsavverkning</t>
        </is>
      </c>
      <c r="D327" s="1" t="n">
        <v>45216</v>
      </c>
      <c r="E327" s="1" t="n">
        <v>46217</v>
      </c>
      <c r="F327" t="inlineStr">
        <is>
          <t>ÖREBRO LÄN</t>
        </is>
      </c>
      <c r="G327" t="inlineStr">
        <is>
          <t>LAXÅ</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21474-2025</t>
        </is>
      </c>
      <c r="B328" t="inlineStr">
        <is>
          <t>avverkningsanmälan</t>
        </is>
      </c>
      <c r="C328" t="inlineStr">
        <is>
          <t>Avverkning för att bevara och utveckla /försöksver</t>
        </is>
      </c>
      <c r="D328" s="1" t="n">
        <v>45782</v>
      </c>
      <c r="E328" s="1" t="n">
        <v>46217</v>
      </c>
      <c r="F328" t="inlineStr">
        <is>
          <t>ÖREBRO LÄN</t>
        </is>
      </c>
      <c r="G328" t="inlineStr">
        <is>
          <t>LAXÅ</t>
        </is>
      </c>
      <c r="H328" t="inlineStr">
        <is>
          <t>Sveaskog</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21212-2023</t>
        </is>
      </c>
      <c r="B329" t="inlineStr">
        <is>
          <t>avverkningsanmälan</t>
        </is>
      </c>
      <c r="C329" t="inlineStr">
        <is>
          <t>Föryngringsavverkning</t>
        </is>
      </c>
      <c r="D329" s="1" t="n">
        <v>45062</v>
      </c>
      <c r="E329" s="1" t="n">
        <v>46217</v>
      </c>
      <c r="F329" t="inlineStr">
        <is>
          <t>ÖREBRO LÄN</t>
        </is>
      </c>
      <c r="G329" t="inlineStr">
        <is>
          <t>LAXÅ</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6299-2024</t>
        </is>
      </c>
      <c r="B330" t="inlineStr">
        <is>
          <t>avverkningsanmälan</t>
        </is>
      </c>
      <c r="C330" t="inlineStr">
        <is>
          <t>Föryngringsavverkning</t>
        </is>
      </c>
      <c r="D330" s="1" t="n">
        <v>45338</v>
      </c>
      <c r="E330" s="1" t="n">
        <v>46217</v>
      </c>
      <c r="F330" t="inlineStr">
        <is>
          <t>ÖREBRO LÄN</t>
        </is>
      </c>
      <c r="G330" t="inlineStr">
        <is>
          <t>LAXÅ</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23234-2025</t>
        </is>
      </c>
      <c r="B331" t="inlineStr">
        <is>
          <t>avverkningsanmälan</t>
        </is>
      </c>
      <c r="C331" t="inlineStr">
        <is>
          <t>Föryngringsavverkning</t>
        </is>
      </c>
      <c r="D331" s="1" t="n">
        <v>45791</v>
      </c>
      <c r="E331" s="1" t="n">
        <v>46217</v>
      </c>
      <c r="F331" t="inlineStr">
        <is>
          <t>ÖREBRO LÄN</t>
        </is>
      </c>
      <c r="G331" t="inlineStr">
        <is>
          <t>LAXÅ</t>
        </is>
      </c>
      <c r="H331" t="inlineStr">
        <is>
          <t>Sveaskog</t>
        </is>
      </c>
      <c r="I331" t="n">
        <v>9.300000000000001</v>
      </c>
      <c r="J331" t="n">
        <v>0</v>
      </c>
      <c r="K331" t="n">
        <v>0</v>
      </c>
      <c r="L331" t="n">
        <v>0</v>
      </c>
      <c r="M331" t="n">
        <v>0</v>
      </c>
      <c r="N331" t="n">
        <v>0</v>
      </c>
      <c r="O331" t="n">
        <v>0</v>
      </c>
      <c r="P331" t="n">
        <v>0</v>
      </c>
      <c r="Q331" t="n">
        <v>0</v>
      </c>
      <c r="R331" t="n">
        <v>0</v>
      </c>
      <c r="S331" t="n">
        <v>0</v>
      </c>
      <c r="T331" t="n">
        <v>0</v>
      </c>
      <c r="U331" s="2" t="inlineStr"/>
    </row>
    <row r="332" ht="15" customHeight="1">
      <c r="A332" t="inlineStr">
        <is>
          <t>A 18845-2023</t>
        </is>
      </c>
      <c r="B332" t="inlineStr">
        <is>
          <t>avverkningsanmälan</t>
        </is>
      </c>
      <c r="C332" t="inlineStr">
        <is>
          <t>Föryngringsavverkning</t>
        </is>
      </c>
      <c r="D332" s="1" t="n">
        <v>45042</v>
      </c>
      <c r="E332" s="1" t="n">
        <v>46217</v>
      </c>
      <c r="F332" t="inlineStr">
        <is>
          <t>ÖREBRO LÄN</t>
        </is>
      </c>
      <c r="G332" t="inlineStr">
        <is>
          <t>LAXÅ</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56555-2024</t>
        </is>
      </c>
      <c r="B333" t="inlineStr">
        <is>
          <t>avverkningsanmälan</t>
        </is>
      </c>
      <c r="C333" t="inlineStr">
        <is>
          <t>Föryngringsavverkning</t>
        </is>
      </c>
      <c r="D333" s="1" t="n">
        <v>45625</v>
      </c>
      <c r="E333" s="1" t="n">
        <v>46217</v>
      </c>
      <c r="F333" t="inlineStr">
        <is>
          <t>ÖREBRO LÄN</t>
        </is>
      </c>
      <c r="G333" t="inlineStr">
        <is>
          <t>LAXÅ</t>
        </is>
      </c>
      <c r="I333" t="n">
        <v>5.4</v>
      </c>
      <c r="J333" t="n">
        <v>0</v>
      </c>
      <c r="K333" t="n">
        <v>0</v>
      </c>
      <c r="L333" t="n">
        <v>0</v>
      </c>
      <c r="M333" t="n">
        <v>0</v>
      </c>
      <c r="N333" t="n">
        <v>0</v>
      </c>
      <c r="O333" t="n">
        <v>0</v>
      </c>
      <c r="P333" t="n">
        <v>0</v>
      </c>
      <c r="Q333" t="n">
        <v>0</v>
      </c>
      <c r="R333" t="n">
        <v>0</v>
      </c>
      <c r="S333" t="n">
        <v>0</v>
      </c>
      <c r="T333" t="n">
        <v>0</v>
      </c>
      <c r="U333" s="2" t="inlineStr"/>
    </row>
    <row r="334" ht="15" customHeight="1">
      <c r="A334" t="inlineStr">
        <is>
          <t>A 29087-2025</t>
        </is>
      </c>
      <c r="B334" t="inlineStr">
        <is>
          <t>avverkningsanmälan</t>
        </is>
      </c>
      <c r="C334" t="inlineStr">
        <is>
          <t>Föryngringsavverkning</t>
        </is>
      </c>
      <c r="D334" s="1" t="n">
        <v>45821</v>
      </c>
      <c r="E334" s="1" t="n">
        <v>46217</v>
      </c>
      <c r="F334" t="inlineStr">
        <is>
          <t>ÖREBRO LÄN</t>
        </is>
      </c>
      <c r="G334" t="inlineStr">
        <is>
          <t>LAXÅ</t>
        </is>
      </c>
      <c r="H334" t="inlineStr">
        <is>
          <t>Sveaskog</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29089-2025</t>
        </is>
      </c>
      <c r="B335" t="inlineStr">
        <is>
          <t>avverkningsanmälan</t>
        </is>
      </c>
      <c r="C335" t="inlineStr">
        <is>
          <t>Föryngringsavverkning</t>
        </is>
      </c>
      <c r="D335" s="1" t="n">
        <v>45821</v>
      </c>
      <c r="E335" s="1" t="n">
        <v>46217</v>
      </c>
      <c r="F335" t="inlineStr">
        <is>
          <t>ÖREBRO LÄN</t>
        </is>
      </c>
      <c r="G335" t="inlineStr">
        <is>
          <t>LAXÅ</t>
        </is>
      </c>
      <c r="H335" t="inlineStr">
        <is>
          <t>Sveaskog</t>
        </is>
      </c>
      <c r="I335" t="n">
        <v>0.2</v>
      </c>
      <c r="J335" t="n">
        <v>0</v>
      </c>
      <c r="K335" t="n">
        <v>0</v>
      </c>
      <c r="L335" t="n">
        <v>0</v>
      </c>
      <c r="M335" t="n">
        <v>0</v>
      </c>
      <c r="N335" t="n">
        <v>0</v>
      </c>
      <c r="O335" t="n">
        <v>0</v>
      </c>
      <c r="P335" t="n">
        <v>0</v>
      </c>
      <c r="Q335" t="n">
        <v>0</v>
      </c>
      <c r="R335" t="n">
        <v>0</v>
      </c>
      <c r="S335" t="n">
        <v>0</v>
      </c>
      <c r="T335" t="n">
        <v>0</v>
      </c>
      <c r="U335" s="2" t="inlineStr"/>
    </row>
    <row r="336" ht="15" customHeight="1">
      <c r="A336" t="inlineStr">
        <is>
          <t>A 29090-2025</t>
        </is>
      </c>
      <c r="B336" t="inlineStr">
        <is>
          <t>avverkningsanmälan</t>
        </is>
      </c>
      <c r="C336" t="inlineStr">
        <is>
          <t>Avverkning för att bevara och utveckla /försöksver</t>
        </is>
      </c>
      <c r="D336" s="1" t="n">
        <v>45821</v>
      </c>
      <c r="E336" s="1" t="n">
        <v>46217</v>
      </c>
      <c r="F336" t="inlineStr">
        <is>
          <t>ÖREBRO LÄN</t>
        </is>
      </c>
      <c r="G336" t="inlineStr">
        <is>
          <t>LAXÅ</t>
        </is>
      </c>
      <c r="H336" t="inlineStr">
        <is>
          <t>Sveaskog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30334-2025</t>
        </is>
      </c>
      <c r="B337" t="inlineStr">
        <is>
          <t>avverkningsanmälan</t>
        </is>
      </c>
      <c r="C337" t="inlineStr">
        <is>
          <t>Föryngringsavverkning</t>
        </is>
      </c>
      <c r="D337" s="1" t="n">
        <v>45827</v>
      </c>
      <c r="E337" s="1" t="n">
        <v>46217</v>
      </c>
      <c r="F337" t="inlineStr">
        <is>
          <t>ÖREBRO LÄN</t>
        </is>
      </c>
      <c r="G337" t="inlineStr">
        <is>
          <t>LAXÅ</t>
        </is>
      </c>
      <c r="H337" t="inlineStr">
        <is>
          <t>Sveaskog</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30384-2025</t>
        </is>
      </c>
      <c r="B338" t="inlineStr">
        <is>
          <t>avverkningsanmälan</t>
        </is>
      </c>
      <c r="C338" t="inlineStr">
        <is>
          <t>Föryngringsavverkning</t>
        </is>
      </c>
      <c r="D338" s="1" t="n">
        <v>45827</v>
      </c>
      <c r="E338" s="1" t="n">
        <v>46217</v>
      </c>
      <c r="F338" t="inlineStr">
        <is>
          <t>ÖREBRO LÄN</t>
        </is>
      </c>
      <c r="G338" t="inlineStr">
        <is>
          <t>LAXÅ</t>
        </is>
      </c>
      <c r="H338" t="inlineStr">
        <is>
          <t>Sveaskog</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33282-2025</t>
        </is>
      </c>
      <c r="B339" t="inlineStr">
        <is>
          <t>avverkningsanmälan</t>
        </is>
      </c>
      <c r="C339" t="inlineStr">
        <is>
          <t>Föryngringsavverkning</t>
        </is>
      </c>
      <c r="D339" s="1" t="n">
        <v>45840</v>
      </c>
      <c r="E339" s="1" t="n">
        <v>46217</v>
      </c>
      <c r="F339" t="inlineStr">
        <is>
          <t>ÖREBRO LÄN</t>
        </is>
      </c>
      <c r="G339" t="inlineStr">
        <is>
          <t>LAXÅ</t>
        </is>
      </c>
      <c r="H339" t="inlineStr">
        <is>
          <t>Allmännings- och besparingsskogar</t>
        </is>
      </c>
      <c r="I339" t="n">
        <v>4.2</v>
      </c>
      <c r="J339" t="n">
        <v>0</v>
      </c>
      <c r="K339" t="n">
        <v>0</v>
      </c>
      <c r="L339" t="n">
        <v>0</v>
      </c>
      <c r="M339" t="n">
        <v>0</v>
      </c>
      <c r="N339" t="n">
        <v>0</v>
      </c>
      <c r="O339" t="n">
        <v>0</v>
      </c>
      <c r="P339" t="n">
        <v>0</v>
      </c>
      <c r="Q339" t="n">
        <v>0</v>
      </c>
      <c r="R339" t="n">
        <v>0</v>
      </c>
      <c r="S339" t="n">
        <v>0</v>
      </c>
      <c r="T339" t="n">
        <v>0</v>
      </c>
      <c r="U339" s="2" t="inlineStr"/>
    </row>
    <row r="340" ht="15" customHeight="1">
      <c r="A340" t="inlineStr">
        <is>
          <t>A 33561-2025</t>
        </is>
      </c>
      <c r="B340" t="inlineStr">
        <is>
          <t>avverkningsanmälan</t>
        </is>
      </c>
      <c r="C340" t="inlineStr">
        <is>
          <t>Föryngringsavverkning</t>
        </is>
      </c>
      <c r="D340" s="1" t="n">
        <v>45841</v>
      </c>
      <c r="E340" s="1" t="n">
        <v>46217</v>
      </c>
      <c r="F340" t="inlineStr">
        <is>
          <t>ÖREBRO LÄN</t>
        </is>
      </c>
      <c r="G340" t="inlineStr">
        <is>
          <t>LAXÅ</t>
        </is>
      </c>
      <c r="H340" t="inlineStr">
        <is>
          <t>Övriga statliga verk och myndigheter</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33572-2025</t>
        </is>
      </c>
      <c r="B341" t="inlineStr">
        <is>
          <t>avverkningsanmälan</t>
        </is>
      </c>
      <c r="C341" t="inlineStr">
        <is>
          <t>Föryngringsavverkning</t>
        </is>
      </c>
      <c r="D341" s="1" t="n">
        <v>45841</v>
      </c>
      <c r="E341" s="1" t="n">
        <v>46217</v>
      </c>
      <c r="F341" t="inlineStr">
        <is>
          <t>ÖREBRO LÄN</t>
        </is>
      </c>
      <c r="G341" t="inlineStr">
        <is>
          <t>LAXÅ</t>
        </is>
      </c>
      <c r="H341" t="inlineStr">
        <is>
          <t>Övriga statliga verk och myndigheter</t>
        </is>
      </c>
      <c r="I341" t="n">
        <v>8.300000000000001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33576-2025</t>
        </is>
      </c>
      <c r="B342" t="inlineStr">
        <is>
          <t>avverkningsanmälan</t>
        </is>
      </c>
      <c r="C342" t="inlineStr">
        <is>
          <t>Föryngringsavverkning</t>
        </is>
      </c>
      <c r="D342" s="1" t="n">
        <v>45841</v>
      </c>
      <c r="E342" s="1" t="n">
        <v>46217</v>
      </c>
      <c r="F342" t="inlineStr">
        <is>
          <t>ÖREBRO LÄN</t>
        </is>
      </c>
      <c r="G342" t="inlineStr">
        <is>
          <t>LAXÅ</t>
        </is>
      </c>
      <c r="H342" t="inlineStr">
        <is>
          <t>Övriga statliga verk och myndigheter</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33581-2025</t>
        </is>
      </c>
      <c r="B343" t="inlineStr">
        <is>
          <t>avverkningsanmälan</t>
        </is>
      </c>
      <c r="C343" t="inlineStr">
        <is>
          <t>Föryngringsavverkning</t>
        </is>
      </c>
      <c r="D343" s="1" t="n">
        <v>45841</v>
      </c>
      <c r="E343" s="1" t="n">
        <v>46217</v>
      </c>
      <c r="F343" t="inlineStr">
        <is>
          <t>ÖREBRO LÄN</t>
        </is>
      </c>
      <c r="G343" t="inlineStr">
        <is>
          <t>LAXÅ</t>
        </is>
      </c>
      <c r="H343" t="inlineStr">
        <is>
          <t>Övriga statliga verk och myndigheter</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33591-2025</t>
        </is>
      </c>
      <c r="B344" t="inlineStr">
        <is>
          <t>avverkningsanmälan</t>
        </is>
      </c>
      <c r="C344" t="inlineStr">
        <is>
          <t>Föryngringsavverkning</t>
        </is>
      </c>
      <c r="D344" s="1" t="n">
        <v>45841</v>
      </c>
      <c r="E344" s="1" t="n">
        <v>46217</v>
      </c>
      <c r="F344" t="inlineStr">
        <is>
          <t>ÖREBRO LÄN</t>
        </is>
      </c>
      <c r="G344" t="inlineStr">
        <is>
          <t>LAXÅ</t>
        </is>
      </c>
      <c r="H344" t="inlineStr">
        <is>
          <t>Övriga statliga verk och myndigheter</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33597-2025</t>
        </is>
      </c>
      <c r="B345" t="inlineStr">
        <is>
          <t>avverkningsanmälan</t>
        </is>
      </c>
      <c r="C345" t="inlineStr">
        <is>
          <t>Föryngringsavverkning</t>
        </is>
      </c>
      <c r="D345" s="1" t="n">
        <v>45841</v>
      </c>
      <c r="E345" s="1" t="n">
        <v>46217</v>
      </c>
      <c r="F345" t="inlineStr">
        <is>
          <t>ÖREBRO LÄN</t>
        </is>
      </c>
      <c r="G345" t="inlineStr">
        <is>
          <t>LAXÅ</t>
        </is>
      </c>
      <c r="H345" t="inlineStr">
        <is>
          <t>Övriga statliga verk och myndigheter</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S 705-2024</t>
        </is>
      </c>
      <c r="B346" t="inlineStr">
        <is>
          <t>samrådsanmälan</t>
        </is>
      </c>
      <c r="C346" t="inlineStr">
        <is>
          <t>Annan skogsbruksåtgärd</t>
        </is>
      </c>
      <c r="D346" s="1" t="n">
        <v>45362</v>
      </c>
      <c r="E346" s="1" t="n">
        <v>46217</v>
      </c>
      <c r="F346" t="inlineStr">
        <is>
          <t>ÖREBRO LÄN</t>
        </is>
      </c>
      <c r="G346" t="inlineStr">
        <is>
          <t>LAXÅ</t>
        </is>
      </c>
      <c r="H346" t="inlineStr">
        <is>
          <t>Sveaskog</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S 1135-2023</t>
        </is>
      </c>
      <c r="B347" t="inlineStr">
        <is>
          <t>samrådsanmälan</t>
        </is>
      </c>
      <c r="C347" t="inlineStr">
        <is>
          <t>Annan skogsbruksåtgärd</t>
        </is>
      </c>
      <c r="D347" s="1" t="n">
        <v>45016</v>
      </c>
      <c r="E347" s="1" t="n">
        <v>46217</v>
      </c>
      <c r="F347" t="inlineStr">
        <is>
          <t>ÖREBRO LÄN</t>
        </is>
      </c>
      <c r="G347" t="inlineStr">
        <is>
          <t>LAXÅ</t>
        </is>
      </c>
      <c r="H347" t="inlineStr">
        <is>
          <t>Sveaskog</t>
        </is>
      </c>
      <c r="I347" t="n">
        <v>19.8</v>
      </c>
      <c r="J347" t="n">
        <v>0</v>
      </c>
      <c r="K347" t="n">
        <v>0</v>
      </c>
      <c r="L347" t="n">
        <v>0</v>
      </c>
      <c r="M347" t="n">
        <v>0</v>
      </c>
      <c r="N347" t="n">
        <v>0</v>
      </c>
      <c r="O347" t="n">
        <v>0</v>
      </c>
      <c r="P347" t="n">
        <v>0</v>
      </c>
      <c r="Q347" t="n">
        <v>0</v>
      </c>
      <c r="R347" t="n">
        <v>0</v>
      </c>
      <c r="S347" t="n">
        <v>0</v>
      </c>
      <c r="T347" t="n">
        <v>0</v>
      </c>
      <c r="U347" s="2" t="inlineStr"/>
    </row>
    <row r="348" ht="15" customHeight="1">
      <c r="A348" t="inlineStr">
        <is>
          <t>S 6724-2022</t>
        </is>
      </c>
      <c r="B348" t="inlineStr">
        <is>
          <t>samrådsanmälan</t>
        </is>
      </c>
      <c r="C348" t="inlineStr">
        <is>
          <t>Annan skogsbruksåtgärd</t>
        </is>
      </c>
      <c r="D348" s="1" t="n">
        <v>44889</v>
      </c>
      <c r="E348" s="1" t="n">
        <v>46217</v>
      </c>
      <c r="F348" t="inlineStr">
        <is>
          <t>ÖREBRO LÄN</t>
        </is>
      </c>
      <c r="G348" t="inlineStr">
        <is>
          <t>LAXÅ</t>
        </is>
      </c>
      <c r="H348" t="inlineStr">
        <is>
          <t>Sveaskog</t>
        </is>
      </c>
      <c r="I348" t="n">
        <v>9.199999999999999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S 998-2023</t>
        </is>
      </c>
      <c r="B349" t="inlineStr">
        <is>
          <t>samrådsanmälan</t>
        </is>
      </c>
      <c r="C349" t="inlineStr">
        <is>
          <t>Annan skogsbruksåtgärd</t>
        </is>
      </c>
      <c r="D349" s="1" t="n">
        <v>45007</v>
      </c>
      <c r="E349" s="1" t="n">
        <v>46217</v>
      </c>
      <c r="F349" t="inlineStr">
        <is>
          <t>ÖREBRO LÄN</t>
        </is>
      </c>
      <c r="G349" t="inlineStr">
        <is>
          <t>LAXÅ</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S 6243-2021</t>
        </is>
      </c>
      <c r="B350" t="inlineStr">
        <is>
          <t>samrådsanmälan</t>
        </is>
      </c>
      <c r="C350" t="inlineStr">
        <is>
          <t>Åtgärd i nyckelbiotop</t>
        </is>
      </c>
      <c r="D350" s="1" t="n">
        <v>44447</v>
      </c>
      <c r="E350" s="1" t="n">
        <v>46217</v>
      </c>
      <c r="F350" t="inlineStr">
        <is>
          <t>ÖREBRO LÄN</t>
        </is>
      </c>
      <c r="G350" t="inlineStr">
        <is>
          <t>LAXÅ</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S 706-2024</t>
        </is>
      </c>
      <c r="B351" t="inlineStr">
        <is>
          <t>samrådsanmälan</t>
        </is>
      </c>
      <c r="C351" t="inlineStr">
        <is>
          <t>Annan skogsbruksåtgärd</t>
        </is>
      </c>
      <c r="D351" s="1" t="n">
        <v>45362</v>
      </c>
      <c r="E351" s="1" t="n">
        <v>46217</v>
      </c>
      <c r="F351" t="inlineStr">
        <is>
          <t>ÖREBRO LÄN</t>
        </is>
      </c>
      <c r="G351" t="inlineStr">
        <is>
          <t>LAXÅ</t>
        </is>
      </c>
      <c r="H351" t="inlineStr">
        <is>
          <t>Sveaskog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S 2452-2023</t>
        </is>
      </c>
      <c r="B352" t="inlineStr">
        <is>
          <t>samrådsanmälan</t>
        </is>
      </c>
      <c r="C352" t="inlineStr">
        <is>
          <t>Annan skogsbruksåtgärd</t>
        </is>
      </c>
      <c r="D352" s="1" t="n">
        <v>45117</v>
      </c>
      <c r="E352" s="1" t="n">
        <v>46217</v>
      </c>
      <c r="F352" t="inlineStr">
        <is>
          <t>ÖREBRO LÄN</t>
        </is>
      </c>
      <c r="G352" t="inlineStr">
        <is>
          <t>LAXÅ</t>
        </is>
      </c>
      <c r="H352" t="inlineStr">
        <is>
          <t>Sveaskog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S 7015-2022</t>
        </is>
      </c>
      <c r="B353" t="inlineStr">
        <is>
          <t>samrådsanmälan</t>
        </is>
      </c>
      <c r="C353" t="inlineStr">
        <is>
          <t>Annan skogsbruksåtgärd</t>
        </is>
      </c>
      <c r="D353" s="1" t="n">
        <v>44903</v>
      </c>
      <c r="E353" s="1" t="n">
        <v>46217</v>
      </c>
      <c r="F353" t="inlineStr">
        <is>
          <t>ÖREBRO LÄN</t>
        </is>
      </c>
      <c r="G353" t="inlineStr">
        <is>
          <t>LAXÅ</t>
        </is>
      </c>
      <c r="H353" t="inlineStr">
        <is>
          <t>Sveaskog</t>
        </is>
      </c>
      <c r="I353" t="n">
        <v>7.8</v>
      </c>
      <c r="J353" t="n">
        <v>0</v>
      </c>
      <c r="K353" t="n">
        <v>0</v>
      </c>
      <c r="L353" t="n">
        <v>0</v>
      </c>
      <c r="M353" t="n">
        <v>0</v>
      </c>
      <c r="N353" t="n">
        <v>0</v>
      </c>
      <c r="O353" t="n">
        <v>0</v>
      </c>
      <c r="P353" t="n">
        <v>0</v>
      </c>
      <c r="Q353" t="n">
        <v>0</v>
      </c>
      <c r="R353" t="n">
        <v>0</v>
      </c>
      <c r="S353" t="n">
        <v>0</v>
      </c>
      <c r="T353" t="n">
        <v>0</v>
      </c>
      <c r="U353" s="2" t="inlineStr"/>
    </row>
    <row r="354" ht="15" customHeight="1">
      <c r="A354" t="inlineStr">
        <is>
          <t>S 999-2023</t>
        </is>
      </c>
      <c r="B354" t="inlineStr">
        <is>
          <t>samrådsanmälan</t>
        </is>
      </c>
      <c r="C354" t="inlineStr">
        <is>
          <t>Annan skogsbruksåtgärd</t>
        </is>
      </c>
      <c r="D354" s="1" t="n">
        <v>45007</v>
      </c>
      <c r="E354" s="1" t="n">
        <v>46217</v>
      </c>
      <c r="F354" t="inlineStr">
        <is>
          <t>ÖREBRO LÄN</t>
        </is>
      </c>
      <c r="G354" t="inlineStr">
        <is>
          <t>LAXÅ</t>
        </is>
      </c>
      <c r="H354" t="inlineStr">
        <is>
          <t>Sveaskog</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S 3318-2023</t>
        </is>
      </c>
      <c r="B355" t="inlineStr">
        <is>
          <t>samrådsanmälan</t>
        </is>
      </c>
      <c r="C355" t="inlineStr">
        <is>
          <t>Annan skogsbruksåtgärd</t>
        </is>
      </c>
      <c r="D355" s="1" t="n">
        <v>45195</v>
      </c>
      <c r="E355" s="1" t="n">
        <v>46217</v>
      </c>
      <c r="F355" t="inlineStr">
        <is>
          <t>ÖREBRO LÄN</t>
        </is>
      </c>
      <c r="G355" t="inlineStr">
        <is>
          <t>LAXÅ</t>
        </is>
      </c>
      <c r="H355" t="inlineStr">
        <is>
          <t>Sveaskog</t>
        </is>
      </c>
      <c r="I355" t="n">
        <v>3.2</v>
      </c>
      <c r="J355" t="n">
        <v>0</v>
      </c>
      <c r="K355" t="n">
        <v>0</v>
      </c>
      <c r="L355" t="n">
        <v>0</v>
      </c>
      <c r="M355" t="n">
        <v>0</v>
      </c>
      <c r="N355" t="n">
        <v>0</v>
      </c>
      <c r="O355" t="n">
        <v>0</v>
      </c>
      <c r="P355" t="n">
        <v>0</v>
      </c>
      <c r="Q355" t="n">
        <v>0</v>
      </c>
      <c r="R355" t="n">
        <v>0</v>
      </c>
      <c r="S355" t="n">
        <v>0</v>
      </c>
      <c r="T355" t="n">
        <v>0</v>
      </c>
      <c r="U355" s="2" t="inlineStr"/>
    </row>
    <row r="356" ht="15" customHeight="1">
      <c r="A356" t="inlineStr">
        <is>
          <t>S 937-2025</t>
        </is>
      </c>
      <c r="B356" t="inlineStr">
        <is>
          <t>samrådsanmälan</t>
        </is>
      </c>
      <c r="C356" t="inlineStr">
        <is>
          <t>Annan skogsbruksåtgärd</t>
        </is>
      </c>
      <c r="D356" s="1" t="n">
        <v>45740</v>
      </c>
      <c r="E356" s="1" t="n">
        <v>46217</v>
      </c>
      <c r="F356" t="inlineStr">
        <is>
          <t>ÖREBRO LÄN</t>
        </is>
      </c>
      <c r="G356" t="inlineStr">
        <is>
          <t>LAXÅ</t>
        </is>
      </c>
      <c r="H356" t="inlineStr">
        <is>
          <t>Sveaskog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S 984-2025</t>
        </is>
      </c>
      <c r="B357" t="inlineStr">
        <is>
          <t>samrådsanmälan</t>
        </is>
      </c>
      <c r="C357" t="inlineStr">
        <is>
          <t>Annan skogsbruksåtgärd</t>
        </is>
      </c>
      <c r="D357" s="1" t="n">
        <v>45744</v>
      </c>
      <c r="E357" s="1" t="n">
        <v>46217</v>
      </c>
      <c r="F357" t="inlineStr">
        <is>
          <t>ÖREBRO LÄN</t>
        </is>
      </c>
      <c r="G357" t="inlineStr">
        <is>
          <t>LAXÅ</t>
        </is>
      </c>
      <c r="H357" t="inlineStr">
        <is>
          <t>Sveaskog</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S 985-2025</t>
        </is>
      </c>
      <c r="B358" t="inlineStr">
        <is>
          <t>samrådsanmälan</t>
        </is>
      </c>
      <c r="C358" t="inlineStr">
        <is>
          <t>Annan skogsbruksåtgärd</t>
        </is>
      </c>
      <c r="D358" s="1" t="n">
        <v>45744</v>
      </c>
      <c r="E358" s="1" t="n">
        <v>46217</v>
      </c>
      <c r="F358" t="inlineStr">
        <is>
          <t>ÖREBRO LÄN</t>
        </is>
      </c>
      <c r="G358" t="inlineStr">
        <is>
          <t>LAXÅ</t>
        </is>
      </c>
      <c r="H358" t="inlineStr">
        <is>
          <t>Sveaskog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S 1281-2025</t>
        </is>
      </c>
      <c r="B359" t="inlineStr">
        <is>
          <t>samrådsanmälan</t>
        </is>
      </c>
      <c r="C359" t="inlineStr">
        <is>
          <t>Annan skogsbruksåtgärd</t>
        </is>
      </c>
      <c r="D359" s="1" t="n">
        <v>45767</v>
      </c>
      <c r="E359" s="1" t="n">
        <v>46217</v>
      </c>
      <c r="F359" t="inlineStr">
        <is>
          <t>ÖREBRO LÄN</t>
        </is>
      </c>
      <c r="G359" t="inlineStr">
        <is>
          <t>LAXÅ</t>
        </is>
      </c>
      <c r="I359" t="n">
        <v>3.2</v>
      </c>
      <c r="J359" t="n">
        <v>0</v>
      </c>
      <c r="K359" t="n">
        <v>0</v>
      </c>
      <c r="L359" t="n">
        <v>0</v>
      </c>
      <c r="M359" t="n">
        <v>0</v>
      </c>
      <c r="N359" t="n">
        <v>0</v>
      </c>
      <c r="O359" t="n">
        <v>0</v>
      </c>
      <c r="P359" t="n">
        <v>0</v>
      </c>
      <c r="Q359" t="n">
        <v>0</v>
      </c>
      <c r="R359" t="n">
        <v>0</v>
      </c>
      <c r="S359" t="n">
        <v>0</v>
      </c>
      <c r="T359" t="n">
        <v>0</v>
      </c>
      <c r="U359" s="2" t="inlineStr"/>
    </row>
    <row r="360" ht="15" customHeight="1">
      <c r="A360" t="inlineStr">
        <is>
          <t>S 1320-2025</t>
        </is>
      </c>
      <c r="B360" t="inlineStr">
        <is>
          <t>samrådsanmälan</t>
        </is>
      </c>
      <c r="C360" t="inlineStr">
        <is>
          <t>Annan skogsbruksåtgärd</t>
        </is>
      </c>
      <c r="D360" s="1" t="n">
        <v>45771</v>
      </c>
      <c r="E360" s="1" t="n">
        <v>46217</v>
      </c>
      <c r="F360" t="inlineStr">
        <is>
          <t>ÖREBRO LÄN</t>
        </is>
      </c>
      <c r="G360" t="inlineStr">
        <is>
          <t>LAXÅ</t>
        </is>
      </c>
      <c r="H360" t="inlineStr">
        <is>
          <t>Sveaskog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S 1412-2025</t>
        </is>
      </c>
      <c r="B361" t="inlineStr">
        <is>
          <t>samrådsanmälan</t>
        </is>
      </c>
      <c r="C361" t="inlineStr">
        <is>
          <t>Annan skogsbruksåtgärd</t>
        </is>
      </c>
      <c r="D361" s="1" t="n">
        <v>45782</v>
      </c>
      <c r="E361" s="1" t="n">
        <v>46217</v>
      </c>
      <c r="F361" t="inlineStr">
        <is>
          <t>ÖREBRO LÄN</t>
        </is>
      </c>
      <c r="G361" t="inlineStr">
        <is>
          <t>LAXÅ</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S 1865-2025</t>
        </is>
      </c>
      <c r="B362" t="inlineStr">
        <is>
          <t>samrådsanmälan</t>
        </is>
      </c>
      <c r="C362" t="inlineStr">
        <is>
          <t>Annan skogsbruksåtgärd</t>
        </is>
      </c>
      <c r="D362" s="1" t="n">
        <v>45821</v>
      </c>
      <c r="E362" s="1" t="n">
        <v>46217</v>
      </c>
      <c r="F362" t="inlineStr">
        <is>
          <t>ÖREBRO LÄN</t>
        </is>
      </c>
      <c r="G362" t="inlineStr">
        <is>
          <t>LAXÅ</t>
        </is>
      </c>
      <c r="H362" t="inlineStr">
        <is>
          <t>Sveaskog</t>
        </is>
      </c>
      <c r="I362" t="n">
        <v>0.5</v>
      </c>
      <c r="J362" t="n">
        <v>0</v>
      </c>
      <c r="K362" t="n">
        <v>0</v>
      </c>
      <c r="L362" t="n">
        <v>0</v>
      </c>
      <c r="M362" t="n">
        <v>0</v>
      </c>
      <c r="N362" t="n">
        <v>0</v>
      </c>
      <c r="O362" t="n">
        <v>0</v>
      </c>
      <c r="P362" t="n">
        <v>0</v>
      </c>
      <c r="Q362" t="n">
        <v>0</v>
      </c>
      <c r="R362" t="n">
        <v>0</v>
      </c>
      <c r="S362" t="n">
        <v>0</v>
      </c>
      <c r="T362" t="n">
        <v>0</v>
      </c>
      <c r="U362" s="2" t="inlineStr"/>
    </row>
    <row r="363">
      <c r="A363" t="inlineStr">
        <is>
          <t>S 3118-2025</t>
        </is>
      </c>
      <c r="B363" t="inlineStr">
        <is>
          <t>samrådsanmälan</t>
        </is>
      </c>
      <c r="C363" t="inlineStr">
        <is>
          <t>Annan skogsbruksåtgärd</t>
        </is>
      </c>
      <c r="D363" s="1" t="n">
        <v>45968</v>
      </c>
      <c r="E363" s="1" t="n">
        <v>46217</v>
      </c>
      <c r="F363" t="inlineStr">
        <is>
          <t>ÖREBRO LÄN</t>
        </is>
      </c>
      <c r="G363" t="inlineStr">
        <is>
          <t>LAXÅ</t>
        </is>
      </c>
      <c r="H363" t="inlineStr">
        <is>
          <t>Sveaskog</t>
        </is>
      </c>
      <c r="I363" t="n">
        <v>1.4</v>
      </c>
      <c r="J363" t="n">
        <v>0</v>
      </c>
      <c r="K363" t="n">
        <v>0</v>
      </c>
      <c r="L363" t="n">
        <v>0</v>
      </c>
      <c r="M363" t="n">
        <v>0</v>
      </c>
      <c r="N363" t="n">
        <v>0</v>
      </c>
      <c r="O363" t="n">
        <v>0</v>
      </c>
      <c r="P363" t="n">
        <v>0</v>
      </c>
      <c r="Q363" t="n">
        <v>0</v>
      </c>
      <c r="R363" t="n">
        <v>0</v>
      </c>
      <c r="S363" t="n">
        <v>0</v>
      </c>
      <c r="T363" t="n">
        <v>0</v>
      </c>
      <c r="U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2026-07-14T08:59:59Z</dcterms:created>
  <dcterms:modified xmlns:dcterms="http://purl.org/dc/terms/" xmlns:xsi="http://www.w3.org/2001/XMLSchema-instance" xsi:type="dcterms:W3CDTF">2026-07-14T08:59:59Z</dcterms:modified>
</cp:coreProperties>
</file>